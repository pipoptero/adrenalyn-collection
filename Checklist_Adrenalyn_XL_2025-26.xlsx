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LO QUE ME FALTA" sheetId="2" r:id="rId5"/>
    <sheet state="visible" name="REPETIDOS" sheetId="3" r:id="rId6"/>
    <sheet state="visible" name="REGULARES" sheetId="4" r:id="rId7"/>
    <sheet state="visible" name="Estadios" sheetId="5" r:id="rId8"/>
    <sheet state="visible" name="¡VAMOS! (361–380)" sheetId="6" r:id="rId9"/>
    <sheet state="visible" name="Guantes de Oro (381–387)" sheetId="7" r:id="rId10"/>
    <sheet state="visible" name="Kryptonita (388–396)" sheetId="8" r:id="rId11"/>
    <sheet state="visible" name="Diamantes (397–414)" sheetId="9" r:id="rId12"/>
    <sheet state="visible" name="Influencers (415–423)" sheetId="10" r:id="rId13"/>
    <sheet state="visible" name="Protas (424–441)" sheetId="11" r:id="rId14"/>
    <sheet state="visible" name="Cartas Top y Únicas (468–478)" sheetId="12" r:id="rId15"/>
    <sheet state="visible" name="Super Cracks (442–467)" sheetId="13" r:id="rId16"/>
    <sheet state="visible" name="AMPLIACION" sheetId="14" r:id="rId17"/>
    <sheet state="visible" name="ESPECIALES" sheetId="15" r:id="rId18"/>
  </sheets>
  <definedNames/>
  <calcPr/>
  <extLst>
    <ext uri="GoogleSheetsCustomDataVersion2">
      <go:sheetsCustomData xmlns:go="http://customooxmlschemas.google.com/" r:id="rId19" roundtripDataChecksum="No8+cbs4M5KxhbnqcDtrFytWPPqYYC95eoBNdGZU3fM="/>
    </ext>
  </extLst>
</workbook>
</file>

<file path=xl/sharedStrings.xml><?xml version="1.0" encoding="utf-8"?>
<sst xmlns="http://schemas.openxmlformats.org/spreadsheetml/2006/main" count="2202" uniqueCount="774">
  <si>
    <t>Última actualización:</t>
  </si>
  <si>
    <t>Categoría</t>
  </si>
  <si>
    <t>Total</t>
  </si>
  <si>
    <t>Tengo</t>
  </si>
  <si>
    <t>Faltan</t>
  </si>
  <si>
    <t>Progreso</t>
  </si>
  <si>
    <t>Progreso VISUAL</t>
  </si>
  <si>
    <t>REGULARES</t>
  </si>
  <si>
    <t>ESTADIOS</t>
  </si>
  <si>
    <t>VAMOS</t>
  </si>
  <si>
    <t>Guantes de Oro</t>
  </si>
  <si>
    <t>Kryptonita</t>
  </si>
  <si>
    <t>Diamantes</t>
  </si>
  <si>
    <t>Influencers</t>
  </si>
  <si>
    <t>Protas</t>
  </si>
  <si>
    <t>Super Cracks</t>
  </si>
  <si>
    <t>CARTAS TOP</t>
  </si>
  <si>
    <t>Ampliación</t>
  </si>
  <si>
    <t>Especiales</t>
  </si>
  <si>
    <t>TOTAL COLECCIÓN</t>
  </si>
  <si>
    <t>ESCUDO</t>
  </si>
  <si>
    <t>D. ALAVÉS</t>
  </si>
  <si>
    <t>SI</t>
  </si>
  <si>
    <t>SIVERA</t>
  </si>
  <si>
    <t>RAÚL FERNÁNDEZ</t>
  </si>
  <si>
    <t>JONNY</t>
  </si>
  <si>
    <t>TENAGLIA</t>
  </si>
  <si>
    <t>PACHECO</t>
  </si>
  <si>
    <t>PARADA</t>
  </si>
  <si>
    <t>MOUSSA DIARRA</t>
  </si>
  <si>
    <t>BLANCO</t>
  </si>
  <si>
    <t>GUEVARA</t>
  </si>
  <si>
    <t>GURIDI</t>
  </si>
  <si>
    <t>ALEÑÁ</t>
  </si>
  <si>
    <t>PABLO IBÁÑEZ</t>
  </si>
  <si>
    <t>DENIS SUÁREZ</t>
  </si>
  <si>
    <t>CARLOS VICENTE</t>
  </si>
  <si>
    <t>TONI MARTÍNEZ</t>
  </si>
  <si>
    <t>BOYÉ</t>
  </si>
  <si>
    <t>MARIANO</t>
  </si>
  <si>
    <t>ATHLETIC CLUB</t>
  </si>
  <si>
    <t>UNAI SIMÓN</t>
  </si>
  <si>
    <t>PADILLA</t>
  </si>
  <si>
    <t>ARESO</t>
  </si>
  <si>
    <t>VIVIAN</t>
  </si>
  <si>
    <t>PAREDES</t>
  </si>
  <si>
    <t>LAPORTE</t>
  </si>
  <si>
    <t>YURI</t>
  </si>
  <si>
    <t>RUIZ DE GALARRETA</t>
  </si>
  <si>
    <t>JAUREGIZAR</t>
  </si>
  <si>
    <t>VESGA</t>
  </si>
  <si>
    <t>UNAI GÓMEZ</t>
  </si>
  <si>
    <t>SANCET</t>
  </si>
  <si>
    <t>BERENGUER</t>
  </si>
  <si>
    <t>WILLIAMS</t>
  </si>
  <si>
    <t>MAROAN</t>
  </si>
  <si>
    <t>GURUZETA</t>
  </si>
  <si>
    <t>NICO WILLIAMS</t>
  </si>
  <si>
    <t>ATLÉTICO DE MADRID</t>
  </si>
  <si>
    <t>OBLAK</t>
  </si>
  <si>
    <t>MUSSO</t>
  </si>
  <si>
    <t>MARCOS LLORENTE</t>
  </si>
  <si>
    <t>LE NORMAND</t>
  </si>
  <si>
    <t>LENGLET</t>
  </si>
  <si>
    <t>HANCKO</t>
  </si>
  <si>
    <t>RUGGERI</t>
  </si>
  <si>
    <t>KOKE</t>
  </si>
  <si>
    <t>BARRIOS</t>
  </si>
  <si>
    <t>GALLAGHER</t>
  </si>
  <si>
    <t>ALEX BAENA</t>
  </si>
  <si>
    <t>ALMADA</t>
  </si>
  <si>
    <t>NICO GONZÁLEZ</t>
  </si>
  <si>
    <t>GIULIANO</t>
  </si>
  <si>
    <t>JULIÁN ALVAREZ</t>
  </si>
  <si>
    <t>SORLOTH</t>
  </si>
  <si>
    <t>GRIEZMANN</t>
  </si>
  <si>
    <t>FC BARCELONA</t>
  </si>
  <si>
    <t>JOAN GARCÍA</t>
  </si>
  <si>
    <t>SZCZESNY</t>
  </si>
  <si>
    <t>KOUNDÉ</t>
  </si>
  <si>
    <t>CUBARSÍ</t>
  </si>
  <si>
    <t>ERIC GARCÍA</t>
  </si>
  <si>
    <t>ARAÚJO</t>
  </si>
  <si>
    <t>BALDE</t>
  </si>
  <si>
    <t>DE JONG</t>
  </si>
  <si>
    <t>GAVI</t>
  </si>
  <si>
    <t>PEDRI</t>
  </si>
  <si>
    <t>FERMÍN</t>
  </si>
  <si>
    <t>DANI OLMO</t>
  </si>
  <si>
    <t>RAPHINHA</t>
  </si>
  <si>
    <t>LAMINE YAMAL</t>
  </si>
  <si>
    <t>FERRAN TORRES</t>
  </si>
  <si>
    <t>LEWANDOWSKI</t>
  </si>
  <si>
    <t>RASHFORD</t>
  </si>
  <si>
    <t>REAL BETIS</t>
  </si>
  <si>
    <t>PAU LÓPEZ</t>
  </si>
  <si>
    <t>VALLES</t>
  </si>
  <si>
    <t>BELLERÍN</t>
  </si>
  <si>
    <t>BARTRA</t>
  </si>
  <si>
    <t>DIEGO LLORENTE</t>
  </si>
  <si>
    <t>NATAN</t>
  </si>
  <si>
    <t>VALENTÍN GÓMEZ</t>
  </si>
  <si>
    <t>JUNIOR</t>
  </si>
  <si>
    <t>ALTIMIRA</t>
  </si>
  <si>
    <t>AMRABAT</t>
  </si>
  <si>
    <t>PABLO FORNALS</t>
  </si>
  <si>
    <t>LO CELSO</t>
  </si>
  <si>
    <t>ISCO</t>
  </si>
  <si>
    <t>ANTONY</t>
  </si>
  <si>
    <t>CUCHO HERNÁNDEZ</t>
  </si>
  <si>
    <t>RIQUELME</t>
  </si>
  <si>
    <t>ABDE</t>
  </si>
  <si>
    <t>RC CELTA</t>
  </si>
  <si>
    <t>RADU</t>
  </si>
  <si>
    <t>IVÁN VILLAR</t>
  </si>
  <si>
    <t>JAVI RUEDA</t>
  </si>
  <si>
    <t>JAVI RODRÍGUEZ</t>
  </si>
  <si>
    <t>STARFELT</t>
  </si>
  <si>
    <t>MARCOS ALONSO</t>
  </si>
  <si>
    <t>MINGUEZA</t>
  </si>
  <si>
    <t>CARREIRA</t>
  </si>
  <si>
    <t>ILAIX MORIBA</t>
  </si>
  <si>
    <t>FRAN BELTRÁN</t>
  </si>
  <si>
    <t>SOTELO</t>
  </si>
  <si>
    <t>HUGO ÁLVAREZ</t>
  </si>
  <si>
    <t>SWEDBERG</t>
  </si>
  <si>
    <t>BRYAN ZARAGOZA</t>
  </si>
  <si>
    <t>IAGO ASPAS</t>
  </si>
  <si>
    <t>BORJA IGLESIAS</t>
  </si>
  <si>
    <t>JUTGLÀ</t>
  </si>
  <si>
    <t>ELCHE CF</t>
  </si>
  <si>
    <t>IÑAKI PEÑA</t>
  </si>
  <si>
    <t>DITURO</t>
  </si>
  <si>
    <t>ÁLVARO NÚÑEZ</t>
  </si>
  <si>
    <t>CHUST</t>
  </si>
  <si>
    <t>BIGAS</t>
  </si>
  <si>
    <t>AFFENGRUBER</t>
  </si>
  <si>
    <t>PEDROSA</t>
  </si>
  <si>
    <t>FEDE REDONDO</t>
  </si>
  <si>
    <t>GERMÁN VALERA</t>
  </si>
  <si>
    <t>MARTIM NETO</t>
  </si>
  <si>
    <t>FEBAS</t>
  </si>
  <si>
    <t>MARC AGUADO</t>
  </si>
  <si>
    <t>RODRI MENDOZA</t>
  </si>
  <si>
    <t>JOSAN</t>
  </si>
  <si>
    <t>ÁLVARO RODRÍGUEZ</t>
  </si>
  <si>
    <t>ANDRÉ SILVA</t>
  </si>
  <si>
    <t>RAFA MIR</t>
  </si>
  <si>
    <t>RCD ESPANYOL</t>
  </si>
  <si>
    <t>DMITROVIC</t>
  </si>
  <si>
    <t>FORTUÑO</t>
  </si>
  <si>
    <t>EL HILALI</t>
  </si>
  <si>
    <t>CALERO</t>
  </si>
  <si>
    <t>RIEDEL</t>
  </si>
  <si>
    <t>CABRERA</t>
  </si>
  <si>
    <t>CARLOS ROMERO</t>
  </si>
  <si>
    <t>POL LOZANO</t>
  </si>
  <si>
    <t>URKO</t>
  </si>
  <si>
    <t>EDU EXPÓSITO</t>
  </si>
  <si>
    <t>TERRATS</t>
  </si>
  <si>
    <t>ANTONIU ROCA</t>
  </si>
  <si>
    <t>DOLAN</t>
  </si>
  <si>
    <t>ROBERTO FERNÁNDEZ</t>
  </si>
  <si>
    <t>KIKE GARCÍA</t>
  </si>
  <si>
    <t>PUADO</t>
  </si>
  <si>
    <t>PERE MILLA</t>
  </si>
  <si>
    <t>GETAFE CF</t>
  </si>
  <si>
    <t>DAVID SORIA</t>
  </si>
  <si>
    <t>LETACEK</t>
  </si>
  <si>
    <t>IGLESIAS</t>
  </si>
  <si>
    <t>KIKO FEMENÍA</t>
  </si>
  <si>
    <t>DJENÉ</t>
  </si>
  <si>
    <t>DOMINGOS DUARTE</t>
  </si>
  <si>
    <t>ABQAR</t>
  </si>
  <si>
    <t>DIEGO RICO</t>
  </si>
  <si>
    <t>DAVINCHI</t>
  </si>
  <si>
    <t>MARIO MARTÍN</t>
  </si>
  <si>
    <t>ARAMBARRI</t>
  </si>
  <si>
    <t>MILLA</t>
  </si>
  <si>
    <t>NEYOU</t>
  </si>
  <si>
    <t>JAVI MUÑOZ</t>
  </si>
  <si>
    <t>BORJA MAYORAL</t>
  </si>
  <si>
    <t>LISO</t>
  </si>
  <si>
    <t>COBA</t>
  </si>
  <si>
    <t>GIRONA FC</t>
  </si>
  <si>
    <t>GAZZANIGA</t>
  </si>
  <si>
    <t>LIVAKOVIC</t>
  </si>
  <si>
    <t>ARNAU</t>
  </si>
  <si>
    <t>HUGO RINCÓN</t>
  </si>
  <si>
    <t>VITOR REIS</t>
  </si>
  <si>
    <t>BLIND</t>
  </si>
  <si>
    <t>FRANCÉS</t>
  </si>
  <si>
    <t>ÁLEX MORENO</t>
  </si>
  <si>
    <t>WITSEL</t>
  </si>
  <si>
    <t>OUNAHI</t>
  </si>
  <si>
    <t>IVÁN MARTÍN</t>
  </si>
  <si>
    <t>YÁSER ASPRILLA</t>
  </si>
  <si>
    <t>JOEL ROCA</t>
  </si>
  <si>
    <t>TSYGANKOV</t>
  </si>
  <si>
    <t>VANAT</t>
  </si>
  <si>
    <t>STUANI</t>
  </si>
  <si>
    <t>BRYAN GIL</t>
  </si>
  <si>
    <t>LEVANTE UD</t>
  </si>
  <si>
    <t>RYAN</t>
  </si>
  <si>
    <t>PABLO CAMPOS</t>
  </si>
  <si>
    <t>TOLJAN</t>
  </si>
  <si>
    <t>DELA</t>
  </si>
  <si>
    <t>ELGEZABAL</t>
  </si>
  <si>
    <t>MATÍAS MORENO</t>
  </si>
  <si>
    <t>MANU SÁNCHEZ</t>
  </si>
  <si>
    <t>PAMPÍN</t>
  </si>
  <si>
    <t>ORIOL REY</t>
  </si>
  <si>
    <t>PABLO MARTÍNEZ</t>
  </si>
  <si>
    <t>OLASAGASTI</t>
  </si>
  <si>
    <t>VENCEDOR</t>
  </si>
  <si>
    <t>CARLOS ÁLVAREZ</t>
  </si>
  <si>
    <t>MORALES</t>
  </si>
  <si>
    <t>BRUGUÉ</t>
  </si>
  <si>
    <t>IVÁN ROMERO</t>
  </si>
  <si>
    <t>ETTA EYONG</t>
  </si>
  <si>
    <t>REAL MADRID</t>
  </si>
  <si>
    <t>COURTOIS</t>
  </si>
  <si>
    <t>LUNIN</t>
  </si>
  <si>
    <t>CARVAJAL</t>
  </si>
  <si>
    <t>TRENT</t>
  </si>
  <si>
    <t>MILITAO</t>
  </si>
  <si>
    <t>HUIJSEN</t>
  </si>
  <si>
    <t>RÜDIGER</t>
  </si>
  <si>
    <t>CARRERAS</t>
  </si>
  <si>
    <t>TCHOUAMÉNI</t>
  </si>
  <si>
    <t>FEDE VALVERDE</t>
  </si>
  <si>
    <t>BELLINGHAM</t>
  </si>
  <si>
    <t>GÜLER</t>
  </si>
  <si>
    <t>MASTANTUONO</t>
  </si>
  <si>
    <t>RODRYGO</t>
  </si>
  <si>
    <t>MBAPPÉ</t>
  </si>
  <si>
    <t>GONZALO</t>
  </si>
  <si>
    <t>VINÍCIUS</t>
  </si>
  <si>
    <t>RCD MALLORCA</t>
  </si>
  <si>
    <t>LEO ROMÁN</t>
  </si>
  <si>
    <t>BERGSTRÖM</t>
  </si>
  <si>
    <t>MOREY</t>
  </si>
  <si>
    <t>MAFFEO</t>
  </si>
  <si>
    <t>VALJENT</t>
  </si>
  <si>
    <t>RAILLO</t>
  </si>
  <si>
    <t>KUMBULLA</t>
  </si>
  <si>
    <t>MOJICA</t>
  </si>
  <si>
    <t>SAMÚ COSTA</t>
  </si>
  <si>
    <t>ANTONIO SÁNCHEZ</t>
  </si>
  <si>
    <t>DARDER</t>
  </si>
  <si>
    <t>MORLANES</t>
  </si>
  <si>
    <t>PABLO TORRE</t>
  </si>
  <si>
    <t>ASANO</t>
  </si>
  <si>
    <t>MURIQI</t>
  </si>
  <si>
    <t>MATEO JOSEPH</t>
  </si>
  <si>
    <t>JAN VIRGILI</t>
  </si>
  <si>
    <t>CA OSASUNA</t>
  </si>
  <si>
    <t>SERGIO HERRERA</t>
  </si>
  <si>
    <t>AITOR FERNÁNDEZ</t>
  </si>
  <si>
    <t>ROSIER</t>
  </si>
  <si>
    <t>BOYOMO</t>
  </si>
  <si>
    <t>CATENA</t>
  </si>
  <si>
    <t>HERRANDO</t>
  </si>
  <si>
    <t>JUAN CRUZ</t>
  </si>
  <si>
    <t>ABEL BRETONES</t>
  </si>
  <si>
    <t>TORRÓ</t>
  </si>
  <si>
    <t>MONCAYOLA</t>
  </si>
  <si>
    <t>MOI GÓMEZ</t>
  </si>
  <si>
    <t>RUBÉN GARCÍA</t>
  </si>
  <si>
    <t>AIMAR OROZ</t>
  </si>
  <si>
    <t>VÍCTOR MUÑOZ</t>
  </si>
  <si>
    <t>RAÚL GARCÍA</t>
  </si>
  <si>
    <t>BUDIMIR</t>
  </si>
  <si>
    <t>BECKER</t>
  </si>
  <si>
    <t>REAL OVIEDO</t>
  </si>
  <si>
    <t>AARON ESCANDELL</t>
  </si>
  <si>
    <t>MOLDOVAN</t>
  </si>
  <si>
    <t>NACHO VIDAL</t>
  </si>
  <si>
    <t>ERIC BAILLY</t>
  </si>
  <si>
    <t>DAVID CARMO</t>
  </si>
  <si>
    <t>DANI CALVO</t>
  </si>
  <si>
    <t>RAHIM ALHASSANE</t>
  </si>
  <si>
    <t>COLOMBATTO</t>
  </si>
  <si>
    <t>REINA</t>
  </si>
  <si>
    <t>DENDONCKER</t>
  </si>
  <si>
    <t>CAZORLA</t>
  </si>
  <si>
    <t>ILIC</t>
  </si>
  <si>
    <t>HASSAN</t>
  </si>
  <si>
    <t>BREKALO</t>
  </si>
  <si>
    <t>ILYAS CHAIRA</t>
  </si>
  <si>
    <t>FEDE VIÑAS</t>
  </si>
  <si>
    <t>RONDON</t>
  </si>
  <si>
    <t>RAYO VALLECANO</t>
  </si>
  <si>
    <t>BATALLA</t>
  </si>
  <si>
    <t>CÁRDENAS</t>
  </si>
  <si>
    <t>RATIU</t>
  </si>
  <si>
    <t>BALLIU</t>
  </si>
  <si>
    <t>LEJEUNE</t>
  </si>
  <si>
    <t>LUIZ FELIPE</t>
  </si>
  <si>
    <t>PEP CHAVARRÍA</t>
  </si>
  <si>
    <t>PATHÉ CISS</t>
  </si>
  <si>
    <t>UNAI LOPEZ</t>
  </si>
  <si>
    <t>ÓSCAR VALENTÍN</t>
  </si>
  <si>
    <t>ISI</t>
  </si>
  <si>
    <t>PEDRO DÍAZ</t>
  </si>
  <si>
    <t>ÁLVARO GARCÍA</t>
  </si>
  <si>
    <t>FRAN PÉREZ</t>
  </si>
  <si>
    <t>CAMELLO</t>
  </si>
  <si>
    <t>DE FRUTOS</t>
  </si>
  <si>
    <t>ALEMAO</t>
  </si>
  <si>
    <t>REAL SOCIEDAD</t>
  </si>
  <si>
    <t>REMIRO</t>
  </si>
  <si>
    <t>MARRERO</t>
  </si>
  <si>
    <t>ARAMBURU</t>
  </si>
  <si>
    <t>ARITZ ELUSTONDO</t>
  </si>
  <si>
    <t>ZUBELDIA</t>
  </si>
  <si>
    <t>CALETA-CAR</t>
  </si>
  <si>
    <t>SERGIO GÓMEZ</t>
  </si>
  <si>
    <t>GORROTXATEGI</t>
  </si>
  <si>
    <t>TURRIENTES</t>
  </si>
  <si>
    <t>PABLO MARIN</t>
  </si>
  <si>
    <t>CARLOS SOLER</t>
  </si>
  <si>
    <t>BRAIS MÉNDEZ</t>
  </si>
  <si>
    <t>KUBO</t>
  </si>
  <si>
    <t>BARRENETXEA</t>
  </si>
  <si>
    <t>OYARZABAL</t>
  </si>
  <si>
    <t>ÓSKARSSON</t>
  </si>
  <si>
    <t>GUEDES</t>
  </si>
  <si>
    <t>SEVILLA FC</t>
  </si>
  <si>
    <t>VLACHODIMOS</t>
  </si>
  <si>
    <t>NYLAND</t>
  </si>
  <si>
    <t>CARMONA</t>
  </si>
  <si>
    <t>JUANLU</t>
  </si>
  <si>
    <t>AZPILICUETA</t>
  </si>
  <si>
    <t>KIKE SALAS</t>
  </si>
  <si>
    <t>MARCAO</t>
  </si>
  <si>
    <t>SUAZO</t>
  </si>
  <si>
    <t>GUDELJ</t>
  </si>
  <si>
    <t>AGOUME</t>
  </si>
  <si>
    <t>SOW</t>
  </si>
  <si>
    <t>BATISTA MENDY</t>
  </si>
  <si>
    <t>VARGAS</t>
  </si>
  <si>
    <t>EJUKE</t>
  </si>
  <si>
    <t>ISAAC ROMERO</t>
  </si>
  <si>
    <t>AKOR ADAMS</t>
  </si>
  <si>
    <t>ALEXIS SÁNCHEZ</t>
  </si>
  <si>
    <t>VALENCIA CF</t>
  </si>
  <si>
    <t>AGIRREZABALA</t>
  </si>
  <si>
    <t>DIMITRIEVSKI</t>
  </si>
  <si>
    <t>FOULQUIER</t>
  </si>
  <si>
    <t>CORREIA</t>
  </si>
  <si>
    <t>TÁRREGA</t>
  </si>
  <si>
    <t>COPETE</t>
  </si>
  <si>
    <t>DIAKHABY</t>
  </si>
  <si>
    <t>GAYÀ</t>
  </si>
  <si>
    <t>PEPELU</t>
  </si>
  <si>
    <t>SANTAMARÍA</t>
  </si>
  <si>
    <t>JAVI GUERRA</t>
  </si>
  <si>
    <t>ANDRÉ ALMEIDA</t>
  </si>
  <si>
    <t>LUIS RIOJA</t>
  </si>
  <si>
    <t>DIEGO LÓPEZ</t>
  </si>
  <si>
    <t>RAMAZANI</t>
  </si>
  <si>
    <t>DANJUMA</t>
  </si>
  <si>
    <t>HUGO DURO</t>
  </si>
  <si>
    <t>VILLARREAL CF</t>
  </si>
  <si>
    <t>LUIZ JÚNIOR</t>
  </si>
  <si>
    <t>ARNAU TENAS</t>
  </si>
  <si>
    <t>MOURIÑO</t>
  </si>
  <si>
    <t>FOYTH</t>
  </si>
  <si>
    <t>RAFA MARÍN</t>
  </si>
  <si>
    <t>RENATO VEIGA</t>
  </si>
  <si>
    <t>SERGI CARDONA</t>
  </si>
  <si>
    <t>SANTI COMESAÑA</t>
  </si>
  <si>
    <t>PAPE GUEYE</t>
  </si>
  <si>
    <t>PAREJO</t>
  </si>
  <si>
    <t>THOMAS</t>
  </si>
  <si>
    <t>MOLEIRO</t>
  </si>
  <si>
    <t>BUCHANAN</t>
  </si>
  <si>
    <t>MIKAUTADZE</t>
  </si>
  <si>
    <t>PÉPÉ</t>
  </si>
  <si>
    <t>OLUWASEYI</t>
  </si>
  <si>
    <t>AYOZE</t>
  </si>
  <si>
    <t>ESTADIO</t>
  </si>
  <si>
    <t>¡VAMOS!</t>
  </si>
  <si>
    <t>TER STEGEN</t>
  </si>
  <si>
    <t>PUBILL</t>
  </si>
  <si>
    <t>GERARD MARTÍN</t>
  </si>
  <si>
    <t>ASENCIO</t>
  </si>
  <si>
    <t>REGO</t>
  </si>
  <si>
    <t>DRO</t>
  </si>
  <si>
    <t>PABLO GARCÍA</t>
  </si>
  <si>
    <t>FRAN GONZÁLEZ</t>
  </si>
  <si>
    <t>415 Bis</t>
  </si>
  <si>
    <t>416 Bis</t>
  </si>
  <si>
    <t>417 Bis</t>
  </si>
  <si>
    <t>418 Bis</t>
  </si>
  <si>
    <t>UNAI LÓPEZ</t>
  </si>
  <si>
    <t>CARD CHAMPIONS</t>
  </si>
  <si>
    <t>ÚNICA</t>
  </si>
  <si>
    <t>BALÓN DE ORO (ATHLETIC)</t>
  </si>
  <si>
    <t>JULIÁN ÁLVAREZ</t>
  </si>
  <si>
    <t>BALÓN DE ORO (ATLÉTICO)</t>
  </si>
  <si>
    <t>BALÓN DE ORO (BARÇA)</t>
  </si>
  <si>
    <t>BALÓN DE ORO (REAL MADRID)</t>
  </si>
  <si>
    <t>BALÓN DE ORO EXCELLENCE</t>
  </si>
  <si>
    <t>CARD ATÓMICA</t>
  </si>
  <si>
    <t>CARD INVENCIBLE</t>
  </si>
  <si>
    <t>CAMPEÓN CARD</t>
  </si>
  <si>
    <t>1MN</t>
  </si>
  <si>
    <t>2MN</t>
  </si>
  <si>
    <t>CELTA</t>
  </si>
  <si>
    <t>3MN</t>
  </si>
  <si>
    <t>4MN</t>
  </si>
  <si>
    <t>5MN</t>
  </si>
  <si>
    <t>HACNKO</t>
  </si>
  <si>
    <t>ATLETICO DE MADRID</t>
  </si>
  <si>
    <t>6MN</t>
  </si>
  <si>
    <t>7MN</t>
  </si>
  <si>
    <t>NICO GONZALEZ</t>
  </si>
  <si>
    <t>8MN</t>
  </si>
  <si>
    <t>SANTAMARIA</t>
  </si>
  <si>
    <t>9MN</t>
  </si>
  <si>
    <t>10MN</t>
  </si>
  <si>
    <t>MASTANTUONDO</t>
  </si>
  <si>
    <t>11MN</t>
  </si>
  <si>
    <t>12MN</t>
  </si>
  <si>
    <t>13MN</t>
  </si>
  <si>
    <t>VILLAREAL CF</t>
  </si>
  <si>
    <t>14MN</t>
  </si>
  <si>
    <t>15MN</t>
  </si>
  <si>
    <t>OLUWASEVI</t>
  </si>
  <si>
    <t>ÁLEX BAENA</t>
  </si>
  <si>
    <t>7 BIS</t>
  </si>
  <si>
    <t>BORJA GARCÉS</t>
  </si>
  <si>
    <t>D. Alavés</t>
  </si>
  <si>
    <t>8 BIS</t>
  </si>
  <si>
    <t>YUSI ENRÍQUEZ</t>
  </si>
  <si>
    <t>15 BIS</t>
  </si>
  <si>
    <t>ÁNGEL PÉREZ</t>
  </si>
  <si>
    <t>16 BIS</t>
  </si>
  <si>
    <t>CALEBE GONÇALVES</t>
  </si>
  <si>
    <t>18 BIS</t>
  </si>
  <si>
    <t>ABDE REBBACH</t>
  </si>
  <si>
    <t>22 BIS</t>
  </si>
  <si>
    <t>ANDONI GOROSABEL</t>
  </si>
  <si>
    <t>Athletic Club</t>
  </si>
  <si>
    <t>29 BIS</t>
  </si>
  <si>
    <t>SELTON BIAI</t>
  </si>
  <si>
    <t>30 BIS</t>
  </si>
  <si>
    <t>MIKEL REGO</t>
  </si>
  <si>
    <t>32 BIS</t>
  </si>
  <si>
    <t>ROBERT NAVARRO</t>
  </si>
  <si>
    <t>40 BIS</t>
  </si>
  <si>
    <t>NAHUEL MOLINA</t>
  </si>
  <si>
    <t>Atlético de Madrid</t>
  </si>
  <si>
    <t>41 BIS</t>
  </si>
  <si>
    <t>MARC PUBILL</t>
  </si>
  <si>
    <t>42 BIS</t>
  </si>
  <si>
    <t>JOSÉ MARÍA GIMÉNEZ</t>
  </si>
  <si>
    <t>44 BIS</t>
  </si>
  <si>
    <t>JAVI GALÁN</t>
  </si>
  <si>
    <t>46 BIS</t>
  </si>
  <si>
    <t>OBED VARGAS</t>
  </si>
  <si>
    <t>47 BIS</t>
  </si>
  <si>
    <t>JOHNNY CARDOSO</t>
  </si>
  <si>
    <t>48 BIS</t>
  </si>
  <si>
    <t>51 BIS</t>
  </si>
  <si>
    <t>GIACOMO RASPADORI</t>
  </si>
  <si>
    <t>54 BIS</t>
  </si>
  <si>
    <t>ADEMOLA LOOKMAN</t>
  </si>
  <si>
    <t>58 BIS</t>
  </si>
  <si>
    <t>JOAO CANCELO</t>
  </si>
  <si>
    <t>FC Barcelona</t>
  </si>
  <si>
    <t>60 BIS</t>
  </si>
  <si>
    <t>63 BIS</t>
  </si>
  <si>
    <t>MARC BERNAL</t>
  </si>
  <si>
    <t>64 BIS</t>
  </si>
  <si>
    <t>MARC CASADÓ</t>
  </si>
  <si>
    <t>70 BIS</t>
  </si>
  <si>
    <t>ROONY BARDGHJI</t>
  </si>
  <si>
    <t>76 BIS</t>
  </si>
  <si>
    <t>AITOR RUIBAL</t>
  </si>
  <si>
    <t>Real Betis</t>
  </si>
  <si>
    <t>82 BIS</t>
  </si>
  <si>
    <t>NELSON DEOSSA</t>
  </si>
  <si>
    <t>84 BIS</t>
  </si>
  <si>
    <t>ÁLVARO FIDALGO</t>
  </si>
  <si>
    <t>85 BIS</t>
  </si>
  <si>
    <t>MARC ROCA</t>
  </si>
  <si>
    <t>89 BIS</t>
  </si>
  <si>
    <t>90 BIS</t>
  </si>
  <si>
    <t>CHIMY ÁVILA</t>
  </si>
  <si>
    <t>94 BIS</t>
  </si>
  <si>
    <t>RC Celta</t>
  </si>
  <si>
    <t>96 BIS</t>
  </si>
  <si>
    <t>YOEL LAGO</t>
  </si>
  <si>
    <t>101 BIS</t>
  </si>
  <si>
    <t>MIGUEL ROMÁN</t>
  </si>
  <si>
    <t>102 BIS</t>
  </si>
  <si>
    <t>THIAGO VECINO</t>
  </si>
  <si>
    <t>104 BIS</t>
  </si>
  <si>
    <t>FER LÓPEZ</t>
  </si>
  <si>
    <t>105 BIS</t>
  </si>
  <si>
    <t>ANOUAR EL-ABDELLAOUI</t>
  </si>
  <si>
    <t>108 BIS</t>
  </si>
  <si>
    <t>PABLO DURÁN</t>
  </si>
  <si>
    <t>112 BIS</t>
  </si>
  <si>
    <t>HÉCTOR FORT</t>
  </si>
  <si>
    <t>Elche CF</t>
  </si>
  <si>
    <t>117 BIS</t>
  </si>
  <si>
    <t>GONZALO VILLAR</t>
  </si>
  <si>
    <t>122 BIS</t>
  </si>
  <si>
    <t>TETE MORENTE</t>
  </si>
  <si>
    <t>123 BIS</t>
  </si>
  <si>
    <t>JAVI CEPEDA</t>
  </si>
  <si>
    <t>138 BIS</t>
  </si>
  <si>
    <t>CHARLES PICKEL</t>
  </si>
  <si>
    <t>RCD Espanyol</t>
  </si>
  <si>
    <t>139 BIS</t>
  </si>
  <si>
    <t>JOFRE CARRERAS</t>
  </si>
  <si>
    <t>143 BIS</t>
  </si>
  <si>
    <t>CYRIL NGONGE</t>
  </si>
  <si>
    <t>144 BIS</t>
  </si>
  <si>
    <t>LUCA KOLEOSHO</t>
  </si>
  <si>
    <t>152 BIS</t>
  </si>
  <si>
    <t>ZAID ROMERO</t>
  </si>
  <si>
    <t>Getafe CF</t>
  </si>
  <si>
    <t>153 BIS</t>
  </si>
  <si>
    <t>JUAN MANUEL BOSELLI</t>
  </si>
  <si>
    <t>160 BIS</t>
  </si>
  <si>
    <t>LUIS VÁZQUEZ</t>
  </si>
  <si>
    <t>161 BIS</t>
  </si>
  <si>
    <t>MARTÍN SATRIANO</t>
  </si>
  <si>
    <t>162 BIS</t>
  </si>
  <si>
    <t>ÁLEX SANCRIS</t>
  </si>
  <si>
    <t>165 BIS</t>
  </si>
  <si>
    <t>MARC-ANDRÉ TER STEGEN</t>
  </si>
  <si>
    <t>Girona FC</t>
  </si>
  <si>
    <t>172 BIS</t>
  </si>
  <si>
    <t>174 BIS</t>
  </si>
  <si>
    <t>CLAUDIO ECHEVERRI</t>
  </si>
  <si>
    <t>175 BIS</t>
  </si>
  <si>
    <t>THOMAS LEMAR</t>
  </si>
  <si>
    <t>176 BIS</t>
  </si>
  <si>
    <t>CRISTIAN PORTU</t>
  </si>
  <si>
    <t>190 BIS</t>
  </si>
  <si>
    <t>AMINE RAGHOUBER</t>
  </si>
  <si>
    <t>Levante UD</t>
  </si>
  <si>
    <t>192 BIS</t>
  </si>
  <si>
    <t>IKER LOSADA</t>
  </si>
  <si>
    <t>193 BIS</t>
  </si>
  <si>
    <t>XAVI ARRIAGA</t>
  </si>
  <si>
    <t>194 BIS</t>
  </si>
  <si>
    <t>TUNDE AKINSOLA</t>
  </si>
  <si>
    <t>195 BIS</t>
  </si>
  <si>
    <t>PACO CORTÉS</t>
  </si>
  <si>
    <t>196 BIS</t>
  </si>
  <si>
    <t>GODUINE KOYALIPOU</t>
  </si>
  <si>
    <t>206 BIS</t>
  </si>
  <si>
    <t>RAÚL ASENCIO</t>
  </si>
  <si>
    <t>Real Madrid</t>
  </si>
  <si>
    <t>207 BIS</t>
  </si>
  <si>
    <t>FRAN GARCÍA</t>
  </si>
  <si>
    <t>208 BIS</t>
  </si>
  <si>
    <t>EDUARDO CAMAVINGA</t>
  </si>
  <si>
    <t>211 BIS</t>
  </si>
  <si>
    <t>DANI CEBALLOS</t>
  </si>
  <si>
    <t>215 BIS</t>
  </si>
  <si>
    <t>BRAHIM DÍAZ</t>
  </si>
  <si>
    <t>225 BIS</t>
  </si>
  <si>
    <t>TONI LATO</t>
  </si>
  <si>
    <t>RCD Mallorca</t>
  </si>
  <si>
    <t>227 BIS</t>
  </si>
  <si>
    <t>OMAR MASCARELL</t>
  </si>
  <si>
    <t>233 BIS</t>
  </si>
  <si>
    <t>ZITO LUVUMBO</t>
  </si>
  <si>
    <t>234 BIS</t>
  </si>
  <si>
    <t>ABDÓN PRATS</t>
  </si>
  <si>
    <t>241 BIS</t>
  </si>
  <si>
    <t>IÑIGO ARGUIBIDE</t>
  </si>
  <si>
    <t>CA Osasuna</t>
  </si>
  <si>
    <t>243 BIS</t>
  </si>
  <si>
    <t>MANU GALÁN</t>
  </si>
  <si>
    <t>247 BIS</t>
  </si>
  <si>
    <t>IKER BENITO</t>
  </si>
  <si>
    <t>252 BIS</t>
  </si>
  <si>
    <t>RAÚL MORO</t>
  </si>
  <si>
    <t>259 BIS</t>
  </si>
  <si>
    <t>DAVID COSTAS</t>
  </si>
  <si>
    <t>Real Oviedo</t>
  </si>
  <si>
    <t>261 BIS</t>
  </si>
  <si>
    <t>OVIE EJARIA</t>
  </si>
  <si>
    <t>263 BIS</t>
  </si>
  <si>
    <t>KWANE SIBO</t>
  </si>
  <si>
    <t>265 BIS</t>
  </si>
  <si>
    <t>NICO FONSECA</t>
  </si>
  <si>
    <t>267 BIS</t>
  </si>
  <si>
    <t>THIAGO FERNÁNDEZ</t>
  </si>
  <si>
    <t>277 BIS</t>
  </si>
  <si>
    <t>NOBEL MENDY</t>
  </si>
  <si>
    <t>Rayo Vallecano</t>
  </si>
  <si>
    <t>278 BIS</t>
  </si>
  <si>
    <t>ALFONSO ESPINO</t>
  </si>
  <si>
    <t>283 BIS</t>
  </si>
  <si>
    <t>GERARD GUMBAU</t>
  </si>
  <si>
    <t>285 BIS</t>
  </si>
  <si>
    <t>CARLOS MARTÍN</t>
  </si>
  <si>
    <t>288 BIS</t>
  </si>
  <si>
    <t>ILIAS AKHOMACH</t>
  </si>
  <si>
    <t>293 BIS</t>
  </si>
  <si>
    <t>JON MARTIN</t>
  </si>
  <si>
    <t>Real Sociedad</t>
  </si>
  <si>
    <t>299 BIS</t>
  </si>
  <si>
    <t>YANGEL HERRERA</t>
  </si>
  <si>
    <t>305 BIS</t>
  </si>
  <si>
    <t>WESLEY GASSOVA</t>
  </si>
  <si>
    <t>314 BIS</t>
  </si>
  <si>
    <t>JOAQUÍN OSO</t>
  </si>
  <si>
    <t>Sevilla FC</t>
  </si>
  <si>
    <t>321 BIS</t>
  </si>
  <si>
    <t>ALFON GONZÁLEZ</t>
  </si>
  <si>
    <t>324 BIS</t>
  </si>
  <si>
    <t>NEAL MAUPAY</t>
  </si>
  <si>
    <t>332 BIS</t>
  </si>
  <si>
    <t>CHRISTIAN NÚÑEZ</t>
  </si>
  <si>
    <t>Valencia CF</t>
  </si>
  <si>
    <t>334 BIS</t>
  </si>
  <si>
    <t>GUIDO RODRÍGUEZ</t>
  </si>
  <si>
    <t>336 BIS</t>
  </si>
  <si>
    <t>FILIP UGRINIC</t>
  </si>
  <si>
    <t>340 BIS</t>
  </si>
  <si>
    <t>DANI RABA</t>
  </si>
  <si>
    <t>341 BIS</t>
  </si>
  <si>
    <t>UMAR SADIQ</t>
  </si>
  <si>
    <t>342 BIS</t>
  </si>
  <si>
    <t>LUCAS BELTRÁN</t>
  </si>
  <si>
    <t>346 BIS</t>
  </si>
  <si>
    <t>HASSAN FREEMAN</t>
  </si>
  <si>
    <t>Villarreal CF</t>
  </si>
  <si>
    <t>347 BIS</t>
  </si>
  <si>
    <t>PAU NAVARRO</t>
  </si>
  <si>
    <t>350 BIS</t>
  </si>
  <si>
    <t>ALFONSO PEDRAZA</t>
  </si>
  <si>
    <t>355 BIS</t>
  </si>
  <si>
    <t>356 BIS</t>
  </si>
  <si>
    <t>MANOR SOLOMON</t>
  </si>
  <si>
    <t>358 BIS</t>
  </si>
  <si>
    <t>360 BIS</t>
  </si>
  <si>
    <t>GERARD MORENO</t>
  </si>
  <si>
    <t>1 Momentum</t>
  </si>
  <si>
    <t>Koke</t>
  </si>
  <si>
    <t>2 Momentum</t>
  </si>
  <si>
    <t>Pedri</t>
  </si>
  <si>
    <t>3 Momentum</t>
  </si>
  <si>
    <t>Iago Aspas</t>
  </si>
  <si>
    <t>4 Momentum</t>
  </si>
  <si>
    <t>Etta Eyong</t>
  </si>
  <si>
    <t>UD Levante</t>
  </si>
  <si>
    <t>5 Momentum</t>
  </si>
  <si>
    <t>Álvaro García</t>
  </si>
  <si>
    <t>1 Maxi Momentum</t>
  </si>
  <si>
    <t>Lamine Yamal / Vinicius</t>
  </si>
  <si>
    <t>Varios</t>
  </si>
  <si>
    <t>1 Míticos Invencible</t>
  </si>
  <si>
    <t>Puro Oro</t>
  </si>
  <si>
    <t>2 Míticos Invencible</t>
  </si>
  <si>
    <t>Atleti Atleti!</t>
  </si>
  <si>
    <t>1 Panini Extra Gold</t>
  </si>
  <si>
    <t>Lamine Yamal</t>
  </si>
  <si>
    <t>2 Panini Extra Gold</t>
  </si>
  <si>
    <t>Mbappé</t>
  </si>
  <si>
    <t>1 Edición Limitada (Megapack)</t>
  </si>
  <si>
    <t>Nico González</t>
  </si>
  <si>
    <t>2 Edición Limitada (Megapack)</t>
  </si>
  <si>
    <t>De Jong</t>
  </si>
  <si>
    <t>3 Edición Limitada (Megapack)</t>
  </si>
  <si>
    <t>Huijsen</t>
  </si>
  <si>
    <t>1 Edición Limitada (Tin Box)</t>
  </si>
  <si>
    <t>Sancet</t>
  </si>
  <si>
    <t>2 Edición Limitada (Tin Box)</t>
  </si>
  <si>
    <t>3 Edición Limitada (Tin Box)</t>
  </si>
  <si>
    <t>Güler</t>
  </si>
  <si>
    <t>4 Edición Limitada (Tin Box)</t>
  </si>
  <si>
    <t>Mikautadze</t>
  </si>
  <si>
    <t>1 Edición Limitada (Pocket Box)</t>
  </si>
  <si>
    <t>Cazorla (Platinum 2026)</t>
  </si>
  <si>
    <t>2 Edición Limitada (Pocket Box)</t>
  </si>
  <si>
    <t>Fermín</t>
  </si>
  <si>
    <t>3 Edición Limitada (Pocket Box)</t>
  </si>
  <si>
    <t>4 Edición Limitada (Pocket Box)</t>
  </si>
  <si>
    <t>Muriqi</t>
  </si>
  <si>
    <t>1 Sobre Premium</t>
  </si>
  <si>
    <t>Williams</t>
  </si>
  <si>
    <t>2 Sobre Premium</t>
  </si>
  <si>
    <t>Williams (Firma Serigrafiada)</t>
  </si>
  <si>
    <t>3 Sobre Premium</t>
  </si>
  <si>
    <t>Ferran Torres</t>
  </si>
  <si>
    <t>4 Sobre Premium</t>
  </si>
  <si>
    <t>Ferran Torres (Firma Serigrafiada)</t>
  </si>
  <si>
    <t>5 Sobre Premium</t>
  </si>
  <si>
    <t>Oyarzabal</t>
  </si>
  <si>
    <t>6 Sobre Premium</t>
  </si>
  <si>
    <t>Oyarzabal (Firma Serigrafiada)</t>
  </si>
  <si>
    <t>7 Sobre Premium</t>
  </si>
  <si>
    <t>Ayoze</t>
  </si>
  <si>
    <t>8 Sobre Premium</t>
  </si>
  <si>
    <t>Ayoze (Firma Serigrafiada)</t>
  </si>
  <si>
    <t>1 Sobre Premium Oro</t>
  </si>
  <si>
    <t>Pedri (Premium Oro)</t>
  </si>
  <si>
    <t>2 Sobre Premium Oro</t>
  </si>
  <si>
    <t>Lamine Yamal (Premium Oro)</t>
  </si>
  <si>
    <t>3 Sobre Premium Oro</t>
  </si>
  <si>
    <t>Isco (Premium Oro)</t>
  </si>
  <si>
    <t>4 Sobre Premium Oro</t>
  </si>
  <si>
    <t>Joan García (Revelación Oro)</t>
  </si>
  <si>
    <t>5 Sobre Premium Oro</t>
  </si>
  <si>
    <t>Hancko</t>
  </si>
  <si>
    <t>6 Sobre Premium Oro</t>
  </si>
  <si>
    <t>Bellingham</t>
  </si>
  <si>
    <t>7 Sobre Premium Oro</t>
  </si>
  <si>
    <t>De Frutos</t>
  </si>
  <si>
    <t>8 Sobre Premium Oro</t>
  </si>
  <si>
    <t>Lookman</t>
  </si>
  <si>
    <t>Mom Oro Billion</t>
  </si>
  <si>
    <t>Nico Williams / Williams</t>
  </si>
  <si>
    <t>Ferran Torres / Lamine Yamal</t>
  </si>
  <si>
    <t>Vinícius / Mbappé</t>
  </si>
  <si>
    <t>Cucho Hernández / Antony</t>
  </si>
  <si>
    <t>Iago Aspas / Borja Iglesias</t>
  </si>
  <si>
    <t>Sorloth / Julián Alvarez</t>
  </si>
  <si>
    <t>Mom. Oro</t>
  </si>
  <si>
    <t>Kylian Mbappé</t>
  </si>
  <si>
    <t>Jude Bellingham</t>
  </si>
  <si>
    <t>Mom. Oro Ed. Limitada</t>
  </si>
  <si>
    <t>Robert Lewandowski</t>
  </si>
  <si>
    <t>Fede Valverde</t>
  </si>
  <si>
    <t>Julián Alvarez</t>
  </si>
  <si>
    <t>NUEVO DIAMANTE</t>
  </si>
  <si>
    <t>Pau Cubarsí</t>
  </si>
  <si>
    <t>Arda Güler</t>
  </si>
  <si>
    <t>Fermín López</t>
  </si>
  <si>
    <t>Endrick Felipe</t>
  </si>
  <si>
    <t>Marc Casadó</t>
  </si>
  <si>
    <t>Cristhian Mosquera</t>
  </si>
  <si>
    <t>Assane Diao</t>
  </si>
  <si>
    <t>Samu Omorodion</t>
  </si>
  <si>
    <t>Isaac Romero</t>
  </si>
  <si>
    <t>Alberto Moleiro</t>
  </si>
  <si>
    <t>UD Las Palmas</t>
  </si>
  <si>
    <t>Bryan Zaragoza</t>
  </si>
  <si>
    <t>Vitor Roque</t>
  </si>
  <si>
    <t>Hector Fort</t>
  </si>
  <si>
    <t>Macià</t>
  </si>
  <si>
    <t>Bardghji</t>
  </si>
  <si>
    <t>EDUARDO COUDET</t>
  </si>
  <si>
    <t>ERNESTO VALVERDE</t>
  </si>
  <si>
    <t>DIEGO PABLO SIMEONE</t>
  </si>
  <si>
    <t>HANSI FLICK</t>
  </si>
  <si>
    <t>MANUEL PELLEGRINI</t>
  </si>
  <si>
    <t>CLAUDIO GIRÁLDEZ</t>
  </si>
  <si>
    <t>EDER SARABIA</t>
  </si>
  <si>
    <t>MANOLO GONZÁLEZ</t>
  </si>
  <si>
    <t>JOSÉ BORDALÁS</t>
  </si>
  <si>
    <t>MICHEL</t>
  </si>
  <si>
    <t>LUIS CASTRO</t>
  </si>
  <si>
    <t>ÁLVARO ARBELOA</t>
  </si>
  <si>
    <t>JAGOBA ARRASATE</t>
  </si>
  <si>
    <t>ALESSIO LISCI</t>
  </si>
  <si>
    <t>GUILLERMO ALMADA</t>
  </si>
  <si>
    <t>ÍÑIGO PÉREZ</t>
  </si>
  <si>
    <t>PELLEGRINO MATARAZZO</t>
  </si>
  <si>
    <t>MATÍAS ALMEYDA</t>
  </si>
  <si>
    <t>CARLOS CORBERÁN</t>
  </si>
  <si>
    <t>MARCELINO GARCÍA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</si>
</sst>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b/>
      <sz val="14.0"/>
      <color rgb="FF1F1F1F"/>
      <name val="Google Sans"/>
    </font>
    <font>
      <color theme="1"/>
      <name val="Arial"/>
    </font>
    <font>
      <b/>
      <color rgb="FF1F1F1F"/>
      <name val="Google Sans"/>
    </font>
    <font>
      <color rgb="FF1F1F1F"/>
      <name val="Google Sans"/>
    </font>
    <font>
      <color rgb="FF444746"/>
      <name val="Google Sans"/>
    </font>
    <font>
      <b/>
      <color theme="1"/>
      <name val="Google Sans"/>
    </font>
    <font>
      <color theme="1"/>
      <name val="Google Sans"/>
    </font>
    <font>
      <b/>
      <sz val="12.0"/>
      <color rgb="FF1F1F1F"/>
      <name val="Google Sans"/>
    </font>
    <font>
      <sz val="12.0"/>
      <color theme="1"/>
      <name val="Arial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1CCDC"/>
        <bgColor rgb="FF41CCDC"/>
      </patternFill>
    </fill>
    <fill>
      <patternFill patternType="solid">
        <fgColor rgb="FFEBAA69"/>
        <bgColor rgb="FFEBAA69"/>
      </patternFill>
    </fill>
  </fills>
  <borders count="12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2" numFmtId="0" xfId="0" applyFont="1"/>
    <xf borderId="1" fillId="3" fontId="1" numFmtId="0" xfId="0" applyAlignment="1" applyBorder="1" applyFill="1" applyFont="1">
      <alignment horizontal="center"/>
    </xf>
    <xf borderId="2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" fillId="0" fontId="3" numFmtId="0" xfId="0" applyBorder="1" applyFont="1"/>
    <xf borderId="5" fillId="0" fontId="4" numFmtId="0" xfId="0" applyBorder="1" applyFont="1"/>
    <xf borderId="5" fillId="0" fontId="5" numFmtId="0" xfId="0" applyBorder="1" applyFont="1"/>
    <xf borderId="5" fillId="0" fontId="2" numFmtId="10" xfId="0" applyBorder="1" applyFont="1" applyNumberFormat="1"/>
    <xf borderId="6" fillId="0" fontId="2" numFmtId="0" xfId="0" applyBorder="1" applyFont="1"/>
    <xf borderId="4" fillId="0" fontId="6" numFmtId="0" xfId="0" applyBorder="1" applyFont="1"/>
    <xf borderId="5" fillId="0" fontId="2" numFmtId="0" xfId="0" applyAlignment="1" applyBorder="1" applyFont="1">
      <alignment readingOrder="0"/>
    </xf>
    <xf borderId="5" fillId="0" fontId="7" numFmtId="0" xfId="0" applyBorder="1" applyFont="1"/>
    <xf borderId="5" fillId="0" fontId="2" numFmtId="0" xfId="0" applyBorder="1" applyFont="1"/>
    <xf borderId="7" fillId="0" fontId="6" numFmtId="0" xfId="0" applyBorder="1" applyFont="1"/>
    <xf borderId="8" fillId="0" fontId="2" numFmtId="0" xfId="0" applyAlignment="1" applyBorder="1" applyFont="1">
      <alignment readingOrder="0"/>
    </xf>
    <xf borderId="8" fillId="0" fontId="7" numFmtId="0" xfId="0" applyBorder="1" applyFont="1"/>
    <xf borderId="9" fillId="4" fontId="8" numFmtId="0" xfId="0" applyBorder="1" applyFill="1" applyFont="1"/>
    <xf borderId="10" fillId="4" fontId="8" numFmtId="0" xfId="0" applyBorder="1" applyFont="1"/>
    <xf borderId="10" fillId="4" fontId="9" numFmtId="10" xfId="0" applyBorder="1" applyFont="1" applyNumberFormat="1"/>
    <xf borderId="11" fillId="0" fontId="2" numFmtId="0" xfId="0" applyBorder="1" applyFont="1"/>
    <xf borderId="0" fillId="0" fontId="2" numFmtId="0" xfId="0" applyAlignment="1" applyFont="1">
      <alignment horizontal="right"/>
    </xf>
    <xf borderId="0" fillId="0" fontId="2" numFmtId="0" xfId="0" applyFont="1"/>
    <xf borderId="0" fillId="0" fontId="10" numFmtId="0" xfId="0" applyFont="1"/>
    <xf borderId="0" fillId="0" fontId="10" numFmtId="0" xfId="0" applyAlignment="1" applyFont="1">
      <alignment horizontal="right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83E880"/>
          <bgColor rgb="FF83E8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4.13"/>
    <col customWidth="1" min="3" max="4" width="12.63"/>
    <col customWidth="1" min="5" max="5" width="14.63"/>
    <col customWidth="1" min="6" max="6" width="38.38"/>
  </cols>
  <sheetData>
    <row r="1" ht="15.75" customHeight="1">
      <c r="A1" s="1" t="s">
        <v>0</v>
      </c>
      <c r="B1" s="2">
        <f>TODAY()</f>
        <v>46133</v>
      </c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15.75" customHeight="1">
      <c r="A3" s="7" t="s">
        <v>7</v>
      </c>
      <c r="B3" s="8">
        <v>360.0</v>
      </c>
      <c r="C3" s="9">
        <f>COUNTIF(REGULARES!D:D, "SI")</f>
        <v>341</v>
      </c>
      <c r="D3" s="9">
        <f t="shared" ref="D3:D14" si="1">B3-C3</f>
        <v>19</v>
      </c>
      <c r="E3" s="10">
        <f t="shared" ref="E3:E4" si="2">(C3/B3)</f>
        <v>0.9472222222</v>
      </c>
      <c r="F3" s="11" t="str">
        <f>IFERROR(__xludf.DUMMYFUNCTION("SPARKLINE(E3, {""charttype"",""bar""; ""max"",1; ""color1"",""green""; ""empty"",""ignore""})"),"")</f>
        <v/>
      </c>
    </row>
    <row r="4" ht="15.75" customHeight="1">
      <c r="A4" s="7" t="s">
        <v>8</v>
      </c>
      <c r="B4" s="8">
        <v>20.0</v>
      </c>
      <c r="C4" s="9">
        <f>COUNTIF(Estadios!D:D, "SI")</f>
        <v>20</v>
      </c>
      <c r="D4" s="9">
        <f t="shared" si="1"/>
        <v>0</v>
      </c>
      <c r="E4" s="10">
        <f t="shared" si="2"/>
        <v>1</v>
      </c>
      <c r="F4" s="11" t="str">
        <f>IFERROR(__xludf.DUMMYFUNCTION("SPARKLINE(E4, {""charttype"",""bar""; ""max"",1; ""color1"",""green""; ""empty"",""ignore""})"),"")</f>
        <v/>
      </c>
    </row>
    <row r="5" ht="15.75" customHeight="1">
      <c r="A5" s="7" t="s">
        <v>9</v>
      </c>
      <c r="B5" s="8">
        <v>20.0</v>
      </c>
      <c r="C5" s="9">
        <f>COUNTIF('¡VAMOS! (361–380)'!D:D, "SI")</f>
        <v>19</v>
      </c>
      <c r="D5" s="9">
        <f t="shared" si="1"/>
        <v>1</v>
      </c>
      <c r="E5" s="10">
        <f t="shared" ref="E5:E15" si="3">C5/B5</f>
        <v>0.95</v>
      </c>
      <c r="F5" s="11" t="str">
        <f>IFERROR(__xludf.DUMMYFUNCTION("SPARKLINE(E5, {""charttype"",""bar""; ""max"",1; ""color1"",""green""; ""empty"",""ignore""})"),"")</f>
        <v/>
      </c>
    </row>
    <row r="6" ht="15.75" customHeight="1">
      <c r="A6" s="12" t="s">
        <v>10</v>
      </c>
      <c r="B6" s="13">
        <v>9.0</v>
      </c>
      <c r="C6" s="14">
        <f>COUNTIF('Guantes de Oro (381–387)'!D:D, "SI")</f>
        <v>6</v>
      </c>
      <c r="D6" s="15">
        <f t="shared" si="1"/>
        <v>3</v>
      </c>
      <c r="E6" s="10">
        <f t="shared" si="3"/>
        <v>0.6666666667</v>
      </c>
      <c r="F6" s="11" t="str">
        <f>IFERROR(__xludf.DUMMYFUNCTION("SPARKLINE(E6, {""charttype"",""bar""; ""max"",1; ""color1"",""green""; ""empty"",""ignore""})"),"")</f>
        <v/>
      </c>
    </row>
    <row r="7" ht="15.75" customHeight="1">
      <c r="A7" s="12" t="s">
        <v>11</v>
      </c>
      <c r="B7" s="13">
        <v>12.0</v>
      </c>
      <c r="C7" s="14">
        <f>COUNTIF('Kryptonita (388–396)'!D:D, "SI")</f>
        <v>7</v>
      </c>
      <c r="D7" s="15">
        <f t="shared" si="1"/>
        <v>5</v>
      </c>
      <c r="E7" s="10">
        <f t="shared" si="3"/>
        <v>0.5833333333</v>
      </c>
      <c r="F7" s="11" t="str">
        <f>IFERROR(__xludf.DUMMYFUNCTION("SPARKLINE(E7, {""charttype"",""bar""; ""max"",1; ""color1"",""green""; ""empty"",""ignore""})"),"")</f>
        <v/>
      </c>
    </row>
    <row r="8" ht="15.75" customHeight="1">
      <c r="A8" s="12" t="s">
        <v>12</v>
      </c>
      <c r="B8" s="15">
        <v>18.0</v>
      </c>
      <c r="C8" s="14">
        <f>COUNTIF('Diamantes (397–414)'!D:D, "SI")</f>
        <v>17</v>
      </c>
      <c r="D8" s="15">
        <f t="shared" si="1"/>
        <v>1</v>
      </c>
      <c r="E8" s="10">
        <f t="shared" si="3"/>
        <v>0.9444444444</v>
      </c>
      <c r="F8" s="11" t="str">
        <f>IFERROR(__xludf.DUMMYFUNCTION("SPARKLINE(E8, {""charttype"",""bar""; ""max"",1; ""color1"",""green""; ""empty"",""ignore""})"),"")</f>
        <v/>
      </c>
    </row>
    <row r="9" ht="15.75" customHeight="1">
      <c r="A9" s="12" t="s">
        <v>13</v>
      </c>
      <c r="B9" s="13">
        <v>13.0</v>
      </c>
      <c r="C9" s="14">
        <f>COUNTIF('Influencers (415–423)'!D:D, "SI")</f>
        <v>12</v>
      </c>
      <c r="D9" s="15">
        <f t="shared" si="1"/>
        <v>1</v>
      </c>
      <c r="E9" s="10">
        <f t="shared" si="3"/>
        <v>0.9230769231</v>
      </c>
      <c r="F9" s="11" t="str">
        <f>IFERROR(__xludf.DUMMYFUNCTION("SPARKLINE(E9, {""charttype"",""bar""; ""max"",1; ""color1"",""green""; ""empty"",""ignore""})"),"")</f>
        <v/>
      </c>
    </row>
    <row r="10" ht="15.75" customHeight="1">
      <c r="A10" s="12" t="s">
        <v>14</v>
      </c>
      <c r="B10" s="15">
        <v>18.0</v>
      </c>
      <c r="C10" s="14">
        <f>COUNTIF('Protas (424–441)'!D:D, "SI")</f>
        <v>18</v>
      </c>
      <c r="D10" s="15">
        <f t="shared" si="1"/>
        <v>0</v>
      </c>
      <c r="E10" s="10">
        <f t="shared" si="3"/>
        <v>1</v>
      </c>
      <c r="F10" s="11" t="str">
        <f>IFERROR(__xludf.DUMMYFUNCTION("SPARKLINE(E10, {""charttype"",""bar""; ""max"",1; ""color1"",""green""; ""empty"",""ignore""})"),"")</f>
        <v/>
      </c>
    </row>
    <row r="11" ht="15.75" customHeight="1">
      <c r="A11" s="12" t="s">
        <v>15</v>
      </c>
      <c r="B11" s="15">
        <v>26.0</v>
      </c>
      <c r="C11" s="14">
        <f>COUNTIF('Super Cracks (442–467)'!D:D, "SI")</f>
        <v>24</v>
      </c>
      <c r="D11" s="15">
        <f t="shared" si="1"/>
        <v>2</v>
      </c>
      <c r="E11" s="10">
        <f t="shared" si="3"/>
        <v>0.9230769231</v>
      </c>
      <c r="F11" s="11" t="str">
        <f>IFERROR(__xludf.DUMMYFUNCTION("SPARKLINE(E11, {""charttype"",""bar""; ""max"",1; ""color1"",""green""; ""empty"",""ignore""})"),"")</f>
        <v/>
      </c>
    </row>
    <row r="12" ht="15.75" customHeight="1">
      <c r="A12" s="12" t="s">
        <v>16</v>
      </c>
      <c r="B12" s="15">
        <v>26.0</v>
      </c>
      <c r="C12" s="14">
        <f>COUNTIF('Cartas Top y Únicas (468–478)'!D:D, "SI")</f>
        <v>18</v>
      </c>
      <c r="D12" s="15">
        <f t="shared" si="1"/>
        <v>8</v>
      </c>
      <c r="E12" s="10">
        <f t="shared" si="3"/>
        <v>0.6923076923</v>
      </c>
      <c r="F12" s="11" t="str">
        <f>IFERROR(__xludf.DUMMYFUNCTION("SPARKLINE(E12, {""charttype"",""bar""; ""max"",1; ""color1"",""green""; ""empty"",""ignore""})"),"")</f>
        <v/>
      </c>
    </row>
    <row r="13" ht="15.75" customHeight="1">
      <c r="A13" s="16" t="s">
        <v>17</v>
      </c>
      <c r="B13" s="17">
        <v>102.0</v>
      </c>
      <c r="C13" s="18">
        <f>COUNTIF(AMPLIACION!D:D, "SI")</f>
        <v>60</v>
      </c>
      <c r="D13" s="15">
        <f t="shared" si="1"/>
        <v>42</v>
      </c>
      <c r="E13" s="10">
        <f t="shared" si="3"/>
        <v>0.5882352941</v>
      </c>
      <c r="F13" s="11" t="str">
        <f>IFERROR(__xludf.DUMMYFUNCTION("SPARKLINE(E13, {""charttype"",""bar""; ""max"",1; ""color1"",""green""; ""empty"",""ignore""})"),"")</f>
        <v/>
      </c>
    </row>
    <row r="14" ht="15.75" customHeight="1">
      <c r="A14" s="16" t="s">
        <v>18</v>
      </c>
      <c r="B14" s="17">
        <v>84.0</v>
      </c>
      <c r="C14" s="18">
        <f>COUNTIF(ESPECIALES!D:D, "SI")</f>
        <v>38</v>
      </c>
      <c r="D14" s="15">
        <f t="shared" si="1"/>
        <v>46</v>
      </c>
      <c r="E14" s="10">
        <f t="shared" si="3"/>
        <v>0.4523809524</v>
      </c>
      <c r="F14" s="11" t="str">
        <f>IFERROR(__xludf.DUMMYFUNCTION("SPARKLINE(E14, {""charttype"",""bar""; ""max"",1; ""color1"",""green""; ""empty"",""ignore""})"),"")</f>
        <v/>
      </c>
    </row>
    <row r="15" ht="15.75" customHeight="1">
      <c r="A15" s="19" t="s">
        <v>19</v>
      </c>
      <c r="B15" s="20">
        <f t="shared" ref="B15:D15" si="4">SUM(B3:B14)</f>
        <v>708</v>
      </c>
      <c r="C15" s="20">
        <f t="shared" si="4"/>
        <v>580</v>
      </c>
      <c r="D15" s="20">
        <f t="shared" si="4"/>
        <v>128</v>
      </c>
      <c r="E15" s="21">
        <f t="shared" si="3"/>
        <v>0.8192090395</v>
      </c>
      <c r="F15" s="22" t="str">
        <f>IFERROR(__xludf.DUMMYFUNCTION("SPARKLINE(E15, {""charttype"",""bar""; ""max"",1; ""color1"",""green""; ""empty"",""ignore""})"),"")</f>
        <v/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5.13"/>
    <col customWidth="1" min="3" max="3" width="36.75"/>
    <col customWidth="1" min="4" max="6" width="12.63"/>
  </cols>
  <sheetData>
    <row r="1" ht="15.75" customHeight="1">
      <c r="A1" s="23">
        <f>IFERROR(__xludf.DUMMYFUNCTION("FILTER(
  {REGULARES!A:C;'¡VAMOS! (361–380)'!A:C;'Guantes de Oro (381–387)'!A:C;'Kryptonita (388–396)'!A:C;'Diamantes (397–414)'!A:C;'Influencers (415–423)'!A:C;'Protas (424–441)'!A:C;'Super Cracks (442–467)'!A:C;'Cartas Top y Únicas (468–478)'!A:C;AMPLIA"&amp;"CION!A:C;ESPECIALES!A:C;Estadios!A:C},
  ({REGULARES!D:D;'¡VAMOS! (361–380)'!D:D;'Guantes de Oro (381–387)'!D:D;'Kryptonita (388–396)'!D:D;'Diamantes (397–414)'!D:D;'Influencers (415–423)'!D:D;'Protas (424–441)'!D:D;'Super Cracks (442–467)'!D:D;'Cartas To"&amp;"p y Únicas (468–478)'!D:D;AMPLIACION!D:D;ESPECIALES!D:D;Estadios!D:D}&lt;&gt;""SI"")*
  ({REGULARES!A:A;'¡VAMOS! (361–380)'!A:A;'Guantes de Oro (381–387)'!A:A;'Kryptonita (388–396)'!A:A;'Diamantes (397–414)'!A:A;'Influencers (415–423)'!A:A;'Protas (424–441)'!A:"&amp;"A;'Super Cracks (442–467)'!A:A;'Cartas Top y Únicas (468–478)'!A:A;AMPLIACION!A:A;ESPECIALES!A:A;Estadios!A:A}&lt;&gt;"""")
)"),13.0)</f>
        <v>13</v>
      </c>
      <c r="B1" s="24" t="str">
        <f>IFERROR(__xludf.DUMMYFUNCTION("""COMPUTED_VALUE"""),"PABLO IBÁÑEZ")</f>
        <v>PABLO IBÁÑEZ</v>
      </c>
      <c r="C1" s="24" t="str">
        <f>IFERROR(__xludf.DUMMYFUNCTION("""COMPUTED_VALUE"""),"D. ALAVÉS")</f>
        <v>D. ALAVÉS</v>
      </c>
    </row>
    <row r="2" ht="15.75" customHeight="1">
      <c r="A2" s="23">
        <f>IFERROR(__xludf.DUMMYFUNCTION("""COMPUTED_VALUE"""),20.0)</f>
        <v>20</v>
      </c>
      <c r="B2" s="24" t="str">
        <f>IFERROR(__xludf.DUMMYFUNCTION("""COMPUTED_VALUE"""),"UNAI SIMÓN")</f>
        <v>UNAI SIMÓN</v>
      </c>
      <c r="C2" s="24" t="str">
        <f>IFERROR(__xludf.DUMMYFUNCTION("""COMPUTED_VALUE"""),"ATHLETIC CLUB")</f>
        <v>ATHLETIC CLUB</v>
      </c>
    </row>
    <row r="3" ht="15.75" customHeight="1">
      <c r="A3" s="23">
        <f>IFERROR(__xludf.DUMMYFUNCTION("""COMPUTED_VALUE"""),26.0)</f>
        <v>26</v>
      </c>
      <c r="B3" s="24" t="str">
        <f>IFERROR(__xludf.DUMMYFUNCTION("""COMPUTED_VALUE"""),"YURI")</f>
        <v>YURI</v>
      </c>
      <c r="C3" s="24" t="str">
        <f>IFERROR(__xludf.DUMMYFUNCTION("""COMPUTED_VALUE"""),"ATHLETIC CLUB")</f>
        <v>ATHLETIC CLUB</v>
      </c>
    </row>
    <row r="4" ht="15.75" customHeight="1">
      <c r="A4" s="23">
        <f>IFERROR(__xludf.DUMMYFUNCTION("""COMPUTED_VALUE"""),57.0)</f>
        <v>57</v>
      </c>
      <c r="B4" s="24" t="str">
        <f>IFERROR(__xludf.DUMMYFUNCTION("""COMPUTED_VALUE"""),"SZCZESNY")</f>
        <v>SZCZESNY</v>
      </c>
      <c r="C4" s="24" t="str">
        <f>IFERROR(__xludf.DUMMYFUNCTION("""COMPUTED_VALUE"""),"FC BARCELONA")</f>
        <v>FC BARCELONA</v>
      </c>
    </row>
    <row r="5" ht="15.75" customHeight="1">
      <c r="A5" s="23">
        <f>IFERROR(__xludf.DUMMYFUNCTION("""COMPUTED_VALUE"""),83.0)</f>
        <v>83</v>
      </c>
      <c r="B5" s="24" t="str">
        <f>IFERROR(__xludf.DUMMYFUNCTION("""COMPUTED_VALUE"""),"AMRABAT")</f>
        <v>AMRABAT</v>
      </c>
      <c r="C5" s="24" t="str">
        <f>IFERROR(__xludf.DUMMYFUNCTION("""COMPUTED_VALUE"""),"REAL BETIS")</f>
        <v>REAL BETIS</v>
      </c>
    </row>
    <row r="6" ht="15.75" customHeight="1">
      <c r="A6" s="23">
        <f>IFERROR(__xludf.DUMMYFUNCTION("""COMPUTED_VALUE"""),85.0)</f>
        <v>85</v>
      </c>
      <c r="B6" s="24" t="str">
        <f>IFERROR(__xludf.DUMMYFUNCTION("""COMPUTED_VALUE"""),"LO CELSO")</f>
        <v>LO CELSO</v>
      </c>
      <c r="C6" s="24" t="str">
        <f>IFERROR(__xludf.DUMMYFUNCTION("""COMPUTED_VALUE"""),"REAL BETIS")</f>
        <v>REAL BETIS</v>
      </c>
    </row>
    <row r="7" ht="15.75" customHeight="1">
      <c r="A7" s="23">
        <f>IFERROR(__xludf.DUMMYFUNCTION("""COMPUTED_VALUE"""),89.0)</f>
        <v>89</v>
      </c>
      <c r="B7" s="24" t="str">
        <f>IFERROR(__xludf.DUMMYFUNCTION("""COMPUTED_VALUE"""),"RIQUELME")</f>
        <v>RIQUELME</v>
      </c>
      <c r="C7" s="24" t="str">
        <f>IFERROR(__xludf.DUMMYFUNCTION("""COMPUTED_VALUE"""),"REAL BETIS")</f>
        <v>REAL BETIS</v>
      </c>
    </row>
    <row r="8" ht="15.75" customHeight="1">
      <c r="A8" s="23">
        <f>IFERROR(__xludf.DUMMYFUNCTION("""COMPUTED_VALUE"""),90.0)</f>
        <v>90</v>
      </c>
      <c r="B8" s="24" t="str">
        <f>IFERROR(__xludf.DUMMYFUNCTION("""COMPUTED_VALUE"""),"ABDE")</f>
        <v>ABDE</v>
      </c>
      <c r="C8" s="24" t="str">
        <f>IFERROR(__xludf.DUMMYFUNCTION("""COMPUTED_VALUE"""),"REAL BETIS")</f>
        <v>REAL BETIS</v>
      </c>
    </row>
    <row r="9" ht="15.75" customHeight="1">
      <c r="A9" s="23">
        <f>IFERROR(__xludf.DUMMYFUNCTION("""COMPUTED_VALUE"""),92.0)</f>
        <v>92</v>
      </c>
      <c r="B9" s="24" t="str">
        <f>IFERROR(__xludf.DUMMYFUNCTION("""COMPUTED_VALUE"""),"RADU")</f>
        <v>RADU</v>
      </c>
      <c r="C9" s="24" t="str">
        <f>IFERROR(__xludf.DUMMYFUNCTION("""COMPUTED_VALUE"""),"RC CELTA")</f>
        <v>RC CELTA</v>
      </c>
    </row>
    <row r="10" ht="15.75" customHeight="1">
      <c r="A10" s="23">
        <f>IFERROR(__xludf.DUMMYFUNCTION("""COMPUTED_VALUE"""),119.0)</f>
        <v>119</v>
      </c>
      <c r="B10" s="24" t="str">
        <f>IFERROR(__xludf.DUMMYFUNCTION("""COMPUTED_VALUE"""),"MARTIM NETO")</f>
        <v>MARTIM NETO</v>
      </c>
      <c r="C10" s="24" t="str">
        <f>IFERROR(__xludf.DUMMYFUNCTION("""COMPUTED_VALUE"""),"ELCHE CF")</f>
        <v>ELCHE CF</v>
      </c>
    </row>
    <row r="11" ht="15.75" customHeight="1">
      <c r="A11" s="23">
        <f>IFERROR(__xludf.DUMMYFUNCTION("""COMPUTED_VALUE"""),133.0)</f>
        <v>133</v>
      </c>
      <c r="B11" s="24" t="str">
        <f>IFERROR(__xludf.DUMMYFUNCTION("""COMPUTED_VALUE"""),"CABRERA")</f>
        <v>CABRERA</v>
      </c>
      <c r="C11" s="24" t="str">
        <f>IFERROR(__xludf.DUMMYFUNCTION("""COMPUTED_VALUE"""),"RCD ESPANYOL")</f>
        <v>RCD ESPANYOL</v>
      </c>
    </row>
    <row r="12" ht="15.75" customHeight="1">
      <c r="A12" s="23">
        <f>IFERROR(__xludf.DUMMYFUNCTION("""COMPUTED_VALUE"""),196.0)</f>
        <v>196</v>
      </c>
      <c r="B12" s="24" t="str">
        <f>IFERROR(__xludf.DUMMYFUNCTION("""COMPUTED_VALUE"""),"BRUGUÉ")</f>
        <v>BRUGUÉ</v>
      </c>
      <c r="C12" s="24" t="str">
        <f>IFERROR(__xludf.DUMMYFUNCTION("""COMPUTED_VALUE"""),"LEVANTE UD")</f>
        <v>LEVANTE UD</v>
      </c>
    </row>
    <row r="13" ht="15.75" customHeight="1">
      <c r="A13" s="23">
        <f>IFERROR(__xludf.DUMMYFUNCTION("""COMPUTED_VALUE"""),232.0)</f>
        <v>232</v>
      </c>
      <c r="B13" s="24" t="str">
        <f>IFERROR(__xludf.DUMMYFUNCTION("""COMPUTED_VALUE"""),"MURIQI")</f>
        <v>MURIQI</v>
      </c>
      <c r="C13" s="24" t="str">
        <f>IFERROR(__xludf.DUMMYFUNCTION("""COMPUTED_VALUE"""),"RCD MALLORCA")</f>
        <v>RCD MALLORCA</v>
      </c>
    </row>
    <row r="14" ht="15.75" customHeight="1">
      <c r="A14" s="23">
        <f>IFERROR(__xludf.DUMMYFUNCTION("""COMPUTED_VALUE"""),233.0)</f>
        <v>233</v>
      </c>
      <c r="B14" s="24" t="str">
        <f>IFERROR(__xludf.DUMMYFUNCTION("""COMPUTED_VALUE"""),"MATEO JOSEPH")</f>
        <v>MATEO JOSEPH</v>
      </c>
      <c r="C14" s="24" t="str">
        <f>IFERROR(__xludf.DUMMYFUNCTION("""COMPUTED_VALUE"""),"RCD MALLORCA")</f>
        <v>RCD MALLORCA</v>
      </c>
    </row>
    <row r="15" ht="15.75" customHeight="1">
      <c r="A15" s="23">
        <f>IFERROR(__xludf.DUMMYFUNCTION("""COMPUTED_VALUE"""),241.0)</f>
        <v>241</v>
      </c>
      <c r="B15" s="24" t="str">
        <f>IFERROR(__xludf.DUMMYFUNCTION("""COMPUTED_VALUE"""),"HERRANDO")</f>
        <v>HERRANDO</v>
      </c>
      <c r="C15" s="24" t="str">
        <f>IFERROR(__xludf.DUMMYFUNCTION("""COMPUTED_VALUE"""),"CA OSASUNA")</f>
        <v>CA OSASUNA</v>
      </c>
    </row>
    <row r="16" ht="15.75" customHeight="1">
      <c r="A16" s="23">
        <f>IFERROR(__xludf.DUMMYFUNCTION("""COMPUTED_VALUE"""),253.0)</f>
        <v>253</v>
      </c>
      <c r="B16" s="24" t="str">
        <f>IFERROR(__xludf.DUMMYFUNCTION("""COMPUTED_VALUE"""),"ESCUDO")</f>
        <v>ESCUDO</v>
      </c>
      <c r="C16" s="24" t="str">
        <f>IFERROR(__xludf.DUMMYFUNCTION("""COMPUTED_VALUE"""),"REAL OVIEDO")</f>
        <v>REAL OVIEDO</v>
      </c>
    </row>
    <row r="17" ht="15.75" customHeight="1">
      <c r="A17" s="23">
        <f>IFERROR(__xludf.DUMMYFUNCTION("""COMPUTED_VALUE"""),263.0)</f>
        <v>263</v>
      </c>
      <c r="B17" s="24" t="str">
        <f>IFERROR(__xludf.DUMMYFUNCTION("""COMPUTED_VALUE"""),"DENDONCKER")</f>
        <v>DENDONCKER</v>
      </c>
      <c r="C17" s="24" t="str">
        <f>IFERROR(__xludf.DUMMYFUNCTION("""COMPUTED_VALUE"""),"REAL OVIEDO")</f>
        <v>REAL OVIEDO</v>
      </c>
    </row>
    <row r="18" ht="15.75" customHeight="1">
      <c r="A18" s="23">
        <f>IFERROR(__xludf.DUMMYFUNCTION("""COMPUTED_VALUE"""),276.0)</f>
        <v>276</v>
      </c>
      <c r="B18" s="24" t="str">
        <f>IFERROR(__xludf.DUMMYFUNCTION("""COMPUTED_VALUE"""),"LEJEUNE")</f>
        <v>LEJEUNE</v>
      </c>
      <c r="C18" s="24" t="str">
        <f>IFERROR(__xludf.DUMMYFUNCTION("""COMPUTED_VALUE"""),"RAYO VALLECANO")</f>
        <v>RAYO VALLECANO</v>
      </c>
    </row>
    <row r="19" ht="15.75" customHeight="1">
      <c r="A19" s="23">
        <f>IFERROR(__xludf.DUMMYFUNCTION("""COMPUTED_VALUE"""),310.0)</f>
        <v>310</v>
      </c>
      <c r="B19" s="24" t="str">
        <f>IFERROR(__xludf.DUMMYFUNCTION("""COMPUTED_VALUE"""),"CARMONA")</f>
        <v>CARMONA</v>
      </c>
      <c r="C19" s="24" t="str">
        <f>IFERROR(__xludf.DUMMYFUNCTION("""COMPUTED_VALUE"""),"SEVILLA FC")</f>
        <v>SEVILLA FC</v>
      </c>
    </row>
    <row r="20" ht="15.75" customHeight="1">
      <c r="A20" s="23">
        <f>IFERROR(__xludf.DUMMYFUNCTION("""COMPUTED_VALUE"""),380.0)</f>
        <v>380</v>
      </c>
      <c r="B20" s="24" t="str">
        <f>IFERROR(__xludf.DUMMYFUNCTION("""COMPUTED_VALUE"""),"VILLARREAL CF")</f>
        <v>VILLARREAL CF</v>
      </c>
      <c r="C20" s="24" t="str">
        <f>IFERROR(__xludf.DUMMYFUNCTION("""COMPUTED_VALUE"""),"¡VAMOS!")</f>
        <v>¡VAMOS!</v>
      </c>
    </row>
    <row r="21" ht="15.75" customHeight="1">
      <c r="A21" s="23">
        <f>IFERROR(__xludf.DUMMYFUNCTION("""COMPUTED_VALUE"""),385.0)</f>
        <v>385</v>
      </c>
      <c r="B21" s="24" t="str">
        <f>IFERROR(__xludf.DUMMYFUNCTION("""COMPUTED_VALUE"""),"BATALLA")</f>
        <v>BATALLA</v>
      </c>
      <c r="C21" s="24" t="str">
        <f>IFERROR(__xludf.DUMMYFUNCTION("""COMPUTED_VALUE"""),"RAYO VALLECANO")</f>
        <v>RAYO VALLECANO</v>
      </c>
    </row>
    <row r="22" ht="15.75" customHeight="1">
      <c r="A22" s="23">
        <f>IFERROR(__xludf.DUMMYFUNCTION("""COMPUTED_VALUE"""),499.0)</f>
        <v>499</v>
      </c>
      <c r="B22" s="24" t="str">
        <f>IFERROR(__xludf.DUMMYFUNCTION("""COMPUTED_VALUE"""),"DMITROVIC")</f>
        <v>DMITROVIC</v>
      </c>
      <c r="C22" s="24" t="str">
        <f>IFERROR(__xludf.DUMMYFUNCTION("""COMPUTED_VALUE"""),"RCD ESPANYOL")</f>
        <v>RCD ESPANYOL</v>
      </c>
    </row>
    <row r="23" ht="15.75" customHeight="1">
      <c r="A23" s="23">
        <f>IFERROR(__xludf.DUMMYFUNCTION("""COMPUTED_VALUE"""),500.0)</f>
        <v>500</v>
      </c>
      <c r="B23" s="24" t="str">
        <f>IFERROR(__xludf.DUMMYFUNCTION("""COMPUTED_VALUE"""),"TER STEGEN")</f>
        <v>TER STEGEN</v>
      </c>
      <c r="C23" s="24" t="str">
        <f>IFERROR(__xludf.DUMMYFUNCTION("""COMPUTED_VALUE"""),"GIRONA FC")</f>
        <v>GIRONA FC</v>
      </c>
    </row>
    <row r="24" ht="15.75" customHeight="1">
      <c r="A24" s="23">
        <f>IFERROR(__xludf.DUMMYFUNCTION("""COMPUTED_VALUE"""),390.0)</f>
        <v>390</v>
      </c>
      <c r="B24" s="24" t="str">
        <f>IFERROR(__xludf.DUMMYFUNCTION("""COMPUTED_VALUE"""),"LE NORMAND")</f>
        <v>LE NORMAND</v>
      </c>
      <c r="C24" s="24" t="str">
        <f>IFERROR(__xludf.DUMMYFUNCTION("""COMPUTED_VALUE"""),"ATLÉTICO DE MADRID")</f>
        <v>ATLÉTICO DE MADRID</v>
      </c>
    </row>
    <row r="25" ht="15.75" customHeight="1">
      <c r="A25" s="23">
        <f>IFERROR(__xludf.DUMMYFUNCTION("""COMPUTED_VALUE"""),394.0)</f>
        <v>394</v>
      </c>
      <c r="B25" s="24" t="str">
        <f>IFERROR(__xludf.DUMMYFUNCTION("""COMPUTED_VALUE"""),"LEJEUNE")</f>
        <v>LEJEUNE</v>
      </c>
      <c r="C25" s="24" t="str">
        <f>IFERROR(__xludf.DUMMYFUNCTION("""COMPUTED_VALUE"""),"RAYO VALLECANO")</f>
        <v>RAYO VALLECANO</v>
      </c>
    </row>
    <row r="26" ht="15.75" customHeight="1">
      <c r="A26" s="23">
        <f>IFERROR(__xludf.DUMMYFUNCTION("""COMPUTED_VALUE"""),501.0)</f>
        <v>501</v>
      </c>
      <c r="B26" s="24" t="str">
        <f>IFERROR(__xludf.DUMMYFUNCTION("""COMPUTED_VALUE"""),"PUBILL")</f>
        <v>PUBILL</v>
      </c>
      <c r="C26" s="24" t="str">
        <f>IFERROR(__xludf.DUMMYFUNCTION("""COMPUTED_VALUE"""),"ATLÉTICO DE MADRID")</f>
        <v>ATLÉTICO DE MADRID</v>
      </c>
    </row>
    <row r="27" ht="15.75" customHeight="1">
      <c r="A27" s="23">
        <f>IFERROR(__xludf.DUMMYFUNCTION("""COMPUTED_VALUE"""),502.0)</f>
        <v>502</v>
      </c>
      <c r="B27" s="24" t="str">
        <f>IFERROR(__xludf.DUMMYFUNCTION("""COMPUTED_VALUE"""),"GERARD MARTÍN")</f>
        <v>GERARD MARTÍN</v>
      </c>
      <c r="C27" s="24" t="str">
        <f>IFERROR(__xludf.DUMMYFUNCTION("""COMPUTED_VALUE"""),"FC BARCELONA")</f>
        <v>FC BARCELONA</v>
      </c>
    </row>
    <row r="28" ht="15.75" customHeight="1">
      <c r="A28" s="23">
        <f>IFERROR(__xludf.DUMMYFUNCTION("""COMPUTED_VALUE"""),503.0)</f>
        <v>503</v>
      </c>
      <c r="B28" s="24" t="str">
        <f>IFERROR(__xludf.DUMMYFUNCTION("""COMPUTED_VALUE"""),"ASENCIO")</f>
        <v>ASENCIO</v>
      </c>
      <c r="C28" s="24" t="str">
        <f>IFERROR(__xludf.DUMMYFUNCTION("""COMPUTED_VALUE"""),"REAL MADRID")</f>
        <v>REAL MADRID</v>
      </c>
    </row>
    <row r="29" ht="15.75" customHeight="1">
      <c r="A29" s="23">
        <f>IFERROR(__xludf.DUMMYFUNCTION("""COMPUTED_VALUE"""),412.0)</f>
        <v>412</v>
      </c>
      <c r="B29" s="24" t="str">
        <f>IFERROR(__xludf.DUMMYFUNCTION("""COMPUTED_VALUE"""),"MATEO JOSEPH")</f>
        <v>MATEO JOSEPH</v>
      </c>
      <c r="C29" s="24" t="str">
        <f>IFERROR(__xludf.DUMMYFUNCTION("""COMPUTED_VALUE"""),"RCD MALLORCA")</f>
        <v>RCD MALLORCA</v>
      </c>
    </row>
    <row r="30" ht="15.75" customHeight="1">
      <c r="A30" s="23" t="str">
        <f>IFERROR(__xludf.DUMMYFUNCTION("""COMPUTED_VALUE"""),"416 Bis")</f>
        <v>416 Bis</v>
      </c>
      <c r="B30" s="24" t="str">
        <f>IFERROR(__xludf.DUMMYFUNCTION("""COMPUTED_VALUE"""),"PABLO FORNALS")</f>
        <v>PABLO FORNALS</v>
      </c>
      <c r="C30" s="24" t="str">
        <f>IFERROR(__xludf.DUMMYFUNCTION("""COMPUTED_VALUE"""),"REAL BETIS")</f>
        <v>REAL BETIS</v>
      </c>
    </row>
    <row r="31" ht="15.75" customHeight="1">
      <c r="A31" s="23">
        <f>IFERROR(__xludf.DUMMYFUNCTION("""COMPUTED_VALUE"""),443.0)</f>
        <v>443</v>
      </c>
      <c r="B31" s="24" t="str">
        <f>IFERROR(__xludf.DUMMYFUNCTION("""COMPUTED_VALUE"""),"JAUREGIZAR")</f>
        <v>JAUREGIZAR</v>
      </c>
      <c r="C31" s="24" t="str">
        <f>IFERROR(__xludf.DUMMYFUNCTION("""COMPUTED_VALUE"""),"ATHLETIC CLUB")</f>
        <v>ATHLETIC CLUB</v>
      </c>
    </row>
    <row r="32" ht="15.75" customHeight="1">
      <c r="A32" s="23">
        <f>IFERROR(__xludf.DUMMYFUNCTION("""COMPUTED_VALUE"""),453.0)</f>
        <v>453</v>
      </c>
      <c r="B32" s="24" t="str">
        <f>IFERROR(__xludf.DUMMYFUNCTION("""COMPUTED_VALUE"""),"RASHFORD")</f>
        <v>RASHFORD</v>
      </c>
      <c r="C32" s="24" t="str">
        <f>IFERROR(__xludf.DUMMYFUNCTION("""COMPUTED_VALUE"""),"FC BARCELONA")</f>
        <v>FC BARCELONA</v>
      </c>
    </row>
    <row r="33" ht="15.75" customHeight="1">
      <c r="A33" s="23">
        <f>IFERROR(__xludf.DUMMYFUNCTION("""COMPUTED_VALUE"""),470.0)</f>
        <v>470</v>
      </c>
      <c r="B33" s="24" t="str">
        <f>IFERROR(__xludf.DUMMYFUNCTION("""COMPUTED_VALUE"""),"JULIÁN ÁLVAREZ")</f>
        <v>JULIÁN ÁLVAREZ</v>
      </c>
      <c r="C33" s="24" t="str">
        <f>IFERROR(__xludf.DUMMYFUNCTION("""COMPUTED_VALUE"""),"BALÓN DE ORO (ATLÉTICO)")</f>
        <v>BALÓN DE ORO (ATLÉTICO)</v>
      </c>
    </row>
    <row r="34" ht="15.75" customHeight="1">
      <c r="A34" s="23">
        <f>IFERROR(__xludf.DUMMYFUNCTION("""COMPUTED_VALUE"""),471.0)</f>
        <v>471</v>
      </c>
      <c r="B34" s="24" t="str">
        <f>IFERROR(__xludf.DUMMYFUNCTION("""COMPUTED_VALUE"""),"PEDRI")</f>
        <v>PEDRI</v>
      </c>
      <c r="C34" s="24" t="str">
        <f>IFERROR(__xludf.DUMMYFUNCTION("""COMPUTED_VALUE"""),"BALÓN DE ORO (BARÇA)")</f>
        <v>BALÓN DE ORO (BARÇA)</v>
      </c>
    </row>
    <row r="35" ht="15.75" customHeight="1">
      <c r="A35" s="23">
        <f>IFERROR(__xludf.DUMMYFUNCTION("""COMPUTED_VALUE"""),472.0)</f>
        <v>472</v>
      </c>
      <c r="B35" s="24" t="str">
        <f>IFERROR(__xludf.DUMMYFUNCTION("""COMPUTED_VALUE"""),"LAMINE YAMAL")</f>
        <v>LAMINE YAMAL</v>
      </c>
      <c r="C35" s="24" t="str">
        <f>IFERROR(__xludf.DUMMYFUNCTION("""COMPUTED_VALUE"""),"BALÓN DE ORO (BARÇA)")</f>
        <v>BALÓN DE ORO (BARÇA)</v>
      </c>
    </row>
    <row r="36" ht="15.75" customHeight="1">
      <c r="A36" s="23">
        <f>IFERROR(__xludf.DUMMYFUNCTION("""COMPUTED_VALUE"""),476.0)</f>
        <v>476</v>
      </c>
      <c r="B36" s="24" t="str">
        <f>IFERROR(__xludf.DUMMYFUNCTION("""COMPUTED_VALUE"""),"CARD ATÓMICA")</f>
        <v>CARD ATÓMICA</v>
      </c>
      <c r="C36" s="24" t="str">
        <f>IFERROR(__xludf.DUMMYFUNCTION("""COMPUTED_VALUE"""),"ÚNICA")</f>
        <v>ÚNICA</v>
      </c>
    </row>
    <row r="37" ht="15.75" customHeight="1">
      <c r="A37" s="23" t="str">
        <f>IFERROR(__xludf.DUMMYFUNCTION("""COMPUTED_VALUE"""),"2MN")</f>
        <v>2MN</v>
      </c>
      <c r="B37" s="24" t="str">
        <f>IFERROR(__xludf.DUMMYFUNCTION("""COMPUTED_VALUE"""),"RADU")</f>
        <v>RADU</v>
      </c>
      <c r="C37" s="24" t="str">
        <f>IFERROR(__xludf.DUMMYFUNCTION("""COMPUTED_VALUE"""),"CELTA")</f>
        <v>CELTA</v>
      </c>
    </row>
    <row r="38" ht="15.75" customHeight="1">
      <c r="A38" s="23" t="str">
        <f>IFERROR(__xludf.DUMMYFUNCTION("""COMPUTED_VALUE"""),"6MN")</f>
        <v>6MN</v>
      </c>
      <c r="B38" s="24" t="str">
        <f>IFERROR(__xludf.DUMMYFUNCTION("""COMPUTED_VALUE"""),"SUAZO")</f>
        <v>SUAZO</v>
      </c>
      <c r="C38" s="24" t="str">
        <f>IFERROR(__xludf.DUMMYFUNCTION("""COMPUTED_VALUE"""),"SEVILLA FC")</f>
        <v>SEVILLA FC</v>
      </c>
    </row>
    <row r="39" ht="15.75" customHeight="1">
      <c r="A39" s="23" t="str">
        <f>IFERROR(__xludf.DUMMYFUNCTION("""COMPUTED_VALUE"""),"12MN")</f>
        <v>12MN</v>
      </c>
      <c r="B39" s="24" t="str">
        <f>IFERROR(__xludf.DUMMYFUNCTION("""COMPUTED_VALUE"""),"DOLAN")</f>
        <v>DOLAN</v>
      </c>
      <c r="C39" s="24" t="str">
        <f>IFERROR(__xludf.DUMMYFUNCTION("""COMPUTED_VALUE"""),"RCD ESPANYOL")</f>
        <v>RCD ESPANYOL</v>
      </c>
    </row>
    <row r="40" ht="15.75" customHeight="1">
      <c r="A40" s="23" t="str">
        <f>IFERROR(__xludf.DUMMYFUNCTION("""COMPUTED_VALUE"""),"13MN")</f>
        <v>13MN</v>
      </c>
      <c r="B40" s="24" t="str">
        <f>IFERROR(__xludf.DUMMYFUNCTION("""COMPUTED_VALUE"""),"MIKAUTADZE")</f>
        <v>MIKAUTADZE</v>
      </c>
      <c r="C40" s="24" t="str">
        <f>IFERROR(__xludf.DUMMYFUNCTION("""COMPUTED_VALUE"""),"VILLAREAL CF")</f>
        <v>VILLAREAL CF</v>
      </c>
    </row>
    <row r="41" ht="15.75" customHeight="1">
      <c r="A41" s="23" t="str">
        <f>IFERROR(__xludf.DUMMYFUNCTION("""COMPUTED_VALUE"""),"16 BIS")</f>
        <v>16 BIS</v>
      </c>
      <c r="B41" s="24" t="str">
        <f>IFERROR(__xludf.DUMMYFUNCTION("""COMPUTED_VALUE"""),"CALEBE GONÇALVES")</f>
        <v>CALEBE GONÇALVES</v>
      </c>
      <c r="C41" s="24" t="str">
        <f>IFERROR(__xludf.DUMMYFUNCTION("""COMPUTED_VALUE"""),"D. Alavés")</f>
        <v>D. Alavés</v>
      </c>
    </row>
    <row r="42" ht="15.75" customHeight="1">
      <c r="A42" s="23" t="str">
        <f>IFERROR(__xludf.DUMMYFUNCTION("""COMPUTED_VALUE"""),"22 BIS")</f>
        <v>22 BIS</v>
      </c>
      <c r="B42" s="24" t="str">
        <f>IFERROR(__xludf.DUMMYFUNCTION("""COMPUTED_VALUE"""),"ANDONI GOROSABEL")</f>
        <v>ANDONI GOROSABEL</v>
      </c>
      <c r="C42" s="24" t="str">
        <f>IFERROR(__xludf.DUMMYFUNCTION("""COMPUTED_VALUE"""),"Athletic Club")</f>
        <v>Athletic Club</v>
      </c>
    </row>
    <row r="43" ht="15.75" customHeight="1">
      <c r="A43" s="23" t="str">
        <f>IFERROR(__xludf.DUMMYFUNCTION("""COMPUTED_VALUE"""),"41 BIS")</f>
        <v>41 BIS</v>
      </c>
      <c r="B43" s="24" t="str">
        <f>IFERROR(__xludf.DUMMYFUNCTION("""COMPUTED_VALUE"""),"MARC PUBILL")</f>
        <v>MARC PUBILL</v>
      </c>
      <c r="C43" s="24" t="str">
        <f>IFERROR(__xludf.DUMMYFUNCTION("""COMPUTED_VALUE"""),"Atlético de Madrid")</f>
        <v>Atlético de Madrid</v>
      </c>
    </row>
    <row r="44" ht="15.75" customHeight="1">
      <c r="A44" s="23" t="str">
        <f>IFERROR(__xludf.DUMMYFUNCTION("""COMPUTED_VALUE"""),"46 BIS")</f>
        <v>46 BIS</v>
      </c>
      <c r="B44" s="24" t="str">
        <f>IFERROR(__xludf.DUMMYFUNCTION("""COMPUTED_VALUE"""),"OBED VARGAS")</f>
        <v>OBED VARGAS</v>
      </c>
      <c r="C44" s="24" t="str">
        <f>IFERROR(__xludf.DUMMYFUNCTION("""COMPUTED_VALUE"""),"Atlético de Madrid")</f>
        <v>Atlético de Madrid</v>
      </c>
    </row>
    <row r="45" ht="15.75" customHeight="1">
      <c r="A45" s="23" t="str">
        <f>IFERROR(__xludf.DUMMYFUNCTION("""COMPUTED_VALUE"""),"47 BIS")</f>
        <v>47 BIS</v>
      </c>
      <c r="B45" s="24" t="str">
        <f>IFERROR(__xludf.DUMMYFUNCTION("""COMPUTED_VALUE"""),"JOHNNY CARDOSO")</f>
        <v>JOHNNY CARDOSO</v>
      </c>
      <c r="C45" s="24" t="str">
        <f>IFERROR(__xludf.DUMMYFUNCTION("""COMPUTED_VALUE"""),"Atlético de Madrid")</f>
        <v>Atlético de Madrid</v>
      </c>
    </row>
    <row r="46" ht="15.75" customHeight="1">
      <c r="A46" s="23" t="str">
        <f>IFERROR(__xludf.DUMMYFUNCTION("""COMPUTED_VALUE"""),"48 BIS")</f>
        <v>48 BIS</v>
      </c>
      <c r="B46" s="24" t="str">
        <f>IFERROR(__xludf.DUMMYFUNCTION("""COMPUTED_VALUE"""),"RODRI MENDOZA")</f>
        <v>RODRI MENDOZA</v>
      </c>
      <c r="C46" s="24" t="str">
        <f>IFERROR(__xludf.DUMMYFUNCTION("""COMPUTED_VALUE"""),"Atlético de Madrid")</f>
        <v>Atlético de Madrid</v>
      </c>
    </row>
    <row r="47" ht="15.75" customHeight="1">
      <c r="A47" s="23" t="str">
        <f>IFERROR(__xludf.DUMMYFUNCTION("""COMPUTED_VALUE"""),"54 BIS")</f>
        <v>54 BIS</v>
      </c>
      <c r="B47" s="24" t="str">
        <f>IFERROR(__xludf.DUMMYFUNCTION("""COMPUTED_VALUE"""),"ADEMOLA LOOKMAN")</f>
        <v>ADEMOLA LOOKMAN</v>
      </c>
      <c r="C47" s="24" t="str">
        <f>IFERROR(__xludf.DUMMYFUNCTION("""COMPUTED_VALUE"""),"Atlético de Madrid")</f>
        <v>Atlético de Madrid</v>
      </c>
    </row>
    <row r="48" ht="15.75" customHeight="1">
      <c r="A48" s="23" t="str">
        <f>IFERROR(__xludf.DUMMYFUNCTION("""COMPUTED_VALUE"""),"60 BIS")</f>
        <v>60 BIS</v>
      </c>
      <c r="B48" s="24" t="str">
        <f>IFERROR(__xludf.DUMMYFUNCTION("""COMPUTED_VALUE"""),"GERARD MARTÍN")</f>
        <v>GERARD MARTÍN</v>
      </c>
      <c r="C48" s="24" t="str">
        <f>IFERROR(__xludf.DUMMYFUNCTION("""COMPUTED_VALUE"""),"FC Barcelona")</f>
        <v>FC Barcelona</v>
      </c>
    </row>
    <row r="49" ht="15.75" customHeight="1">
      <c r="A49" s="23" t="str">
        <f>IFERROR(__xludf.DUMMYFUNCTION("""COMPUTED_VALUE"""),"76 BIS")</f>
        <v>76 BIS</v>
      </c>
      <c r="B49" s="24" t="str">
        <f>IFERROR(__xludf.DUMMYFUNCTION("""COMPUTED_VALUE"""),"AITOR RUIBAL")</f>
        <v>AITOR RUIBAL</v>
      </c>
      <c r="C49" s="24" t="str">
        <f>IFERROR(__xludf.DUMMYFUNCTION("""COMPUTED_VALUE"""),"Real Betis")</f>
        <v>Real Betis</v>
      </c>
    </row>
    <row r="50" ht="15.75" customHeight="1">
      <c r="A50" s="23" t="str">
        <f>IFERROR(__xludf.DUMMYFUNCTION("""COMPUTED_VALUE"""),"82 BIS")</f>
        <v>82 BIS</v>
      </c>
      <c r="B50" s="24" t="str">
        <f>IFERROR(__xludf.DUMMYFUNCTION("""COMPUTED_VALUE"""),"NELSON DEOSSA")</f>
        <v>NELSON DEOSSA</v>
      </c>
      <c r="C50" s="24" t="str">
        <f>IFERROR(__xludf.DUMMYFUNCTION("""COMPUTED_VALUE"""),"Real Betis")</f>
        <v>Real Betis</v>
      </c>
    </row>
    <row r="51" ht="15.75" customHeight="1">
      <c r="A51" s="23" t="str">
        <f>IFERROR(__xludf.DUMMYFUNCTION("""COMPUTED_VALUE"""),"84 BIS")</f>
        <v>84 BIS</v>
      </c>
      <c r="B51" s="24" t="str">
        <f>IFERROR(__xludf.DUMMYFUNCTION("""COMPUTED_VALUE"""),"ÁLVARO FIDALGO")</f>
        <v>ÁLVARO FIDALGO</v>
      </c>
      <c r="C51" s="24" t="str">
        <f>IFERROR(__xludf.DUMMYFUNCTION("""COMPUTED_VALUE"""),"Real Betis")</f>
        <v>Real Betis</v>
      </c>
    </row>
    <row r="52" ht="15.75" customHeight="1">
      <c r="A52" s="23" t="str">
        <f>IFERROR(__xludf.DUMMYFUNCTION("""COMPUTED_VALUE"""),"101 BIS")</f>
        <v>101 BIS</v>
      </c>
      <c r="B52" s="24" t="str">
        <f>IFERROR(__xludf.DUMMYFUNCTION("""COMPUTED_VALUE"""),"MIGUEL ROMÁN")</f>
        <v>MIGUEL ROMÁN</v>
      </c>
      <c r="C52" s="24" t="str">
        <f>IFERROR(__xludf.DUMMYFUNCTION("""COMPUTED_VALUE"""),"RC Celta")</f>
        <v>RC Celta</v>
      </c>
    </row>
    <row r="53" ht="15.75" customHeight="1">
      <c r="A53" s="23" t="str">
        <f>IFERROR(__xludf.DUMMYFUNCTION("""COMPUTED_VALUE"""),"102 BIS")</f>
        <v>102 BIS</v>
      </c>
      <c r="B53" s="24" t="str">
        <f>IFERROR(__xludf.DUMMYFUNCTION("""COMPUTED_VALUE"""),"THIAGO VECINO")</f>
        <v>THIAGO VECINO</v>
      </c>
      <c r="C53" s="24" t="str">
        <f>IFERROR(__xludf.DUMMYFUNCTION("""COMPUTED_VALUE"""),"RC Celta")</f>
        <v>RC Celta</v>
      </c>
    </row>
    <row r="54" ht="15.75" customHeight="1">
      <c r="A54" s="23" t="str">
        <f>IFERROR(__xludf.DUMMYFUNCTION("""COMPUTED_VALUE"""),"117 BIS")</f>
        <v>117 BIS</v>
      </c>
      <c r="B54" s="24" t="str">
        <f>IFERROR(__xludf.DUMMYFUNCTION("""COMPUTED_VALUE"""),"GONZALO VILLAR")</f>
        <v>GONZALO VILLAR</v>
      </c>
      <c r="C54" s="24" t="str">
        <f>IFERROR(__xludf.DUMMYFUNCTION("""COMPUTED_VALUE"""),"Elche CF")</f>
        <v>Elche CF</v>
      </c>
    </row>
    <row r="55" ht="15.75" customHeight="1">
      <c r="A55" s="23" t="str">
        <f>IFERROR(__xludf.DUMMYFUNCTION("""COMPUTED_VALUE"""),"122 BIS")</f>
        <v>122 BIS</v>
      </c>
      <c r="B55" s="24" t="str">
        <f>IFERROR(__xludf.DUMMYFUNCTION("""COMPUTED_VALUE"""),"TETE MORENTE")</f>
        <v>TETE MORENTE</v>
      </c>
      <c r="C55" s="24" t="str">
        <f>IFERROR(__xludf.DUMMYFUNCTION("""COMPUTED_VALUE"""),"Elche CF")</f>
        <v>Elche CF</v>
      </c>
    </row>
    <row r="56" ht="15.75" customHeight="1">
      <c r="A56" s="23" t="str">
        <f>IFERROR(__xludf.DUMMYFUNCTION("""COMPUTED_VALUE"""),"123 BIS")</f>
        <v>123 BIS</v>
      </c>
      <c r="B56" s="24" t="str">
        <f>IFERROR(__xludf.DUMMYFUNCTION("""COMPUTED_VALUE"""),"JAVI CEPEDA")</f>
        <v>JAVI CEPEDA</v>
      </c>
      <c r="C56" s="24" t="str">
        <f>IFERROR(__xludf.DUMMYFUNCTION("""COMPUTED_VALUE"""),"Elche CF")</f>
        <v>Elche CF</v>
      </c>
    </row>
    <row r="57" ht="15.75" customHeight="1">
      <c r="A57" s="23" t="str">
        <f>IFERROR(__xludf.DUMMYFUNCTION("""COMPUTED_VALUE"""),"138 BIS")</f>
        <v>138 BIS</v>
      </c>
      <c r="B57" s="24" t="str">
        <f>IFERROR(__xludf.DUMMYFUNCTION("""COMPUTED_VALUE"""),"CHARLES PICKEL")</f>
        <v>CHARLES PICKEL</v>
      </c>
      <c r="C57" s="24" t="str">
        <f>IFERROR(__xludf.DUMMYFUNCTION("""COMPUTED_VALUE"""),"RCD Espanyol")</f>
        <v>RCD Espanyol</v>
      </c>
    </row>
    <row r="58" ht="15.75" customHeight="1">
      <c r="A58" s="23" t="str">
        <f>IFERROR(__xludf.DUMMYFUNCTION("""COMPUTED_VALUE"""),"143 BIS")</f>
        <v>143 BIS</v>
      </c>
      <c r="B58" s="24" t="str">
        <f>IFERROR(__xludf.DUMMYFUNCTION("""COMPUTED_VALUE"""),"CYRIL NGONGE")</f>
        <v>CYRIL NGONGE</v>
      </c>
      <c r="C58" s="24" t="str">
        <f>IFERROR(__xludf.DUMMYFUNCTION("""COMPUTED_VALUE"""),"RCD Espanyol")</f>
        <v>RCD Espanyol</v>
      </c>
    </row>
    <row r="59" ht="15.75" customHeight="1">
      <c r="A59" s="23" t="str">
        <f>IFERROR(__xludf.DUMMYFUNCTION("""COMPUTED_VALUE"""),"152 BIS")</f>
        <v>152 BIS</v>
      </c>
      <c r="B59" s="24" t="str">
        <f>IFERROR(__xludf.DUMMYFUNCTION("""COMPUTED_VALUE"""),"ZAID ROMERO")</f>
        <v>ZAID ROMERO</v>
      </c>
      <c r="C59" s="24" t="str">
        <f>IFERROR(__xludf.DUMMYFUNCTION("""COMPUTED_VALUE"""),"Getafe CF")</f>
        <v>Getafe CF</v>
      </c>
    </row>
    <row r="60" ht="15.75" customHeight="1">
      <c r="A60" s="23" t="str">
        <f>IFERROR(__xludf.DUMMYFUNCTION("""COMPUTED_VALUE"""),"160 BIS")</f>
        <v>160 BIS</v>
      </c>
      <c r="B60" s="24" t="str">
        <f>IFERROR(__xludf.DUMMYFUNCTION("""COMPUTED_VALUE"""),"LUIS VÁZQUEZ")</f>
        <v>LUIS VÁZQUEZ</v>
      </c>
      <c r="C60" s="24" t="str">
        <f>IFERROR(__xludf.DUMMYFUNCTION("""COMPUTED_VALUE"""),"Getafe CF")</f>
        <v>Getafe CF</v>
      </c>
    </row>
    <row r="61" ht="15.75" customHeight="1">
      <c r="A61" s="23" t="str">
        <f>IFERROR(__xludf.DUMMYFUNCTION("""COMPUTED_VALUE"""),"161 BIS")</f>
        <v>161 BIS</v>
      </c>
      <c r="B61" s="24" t="str">
        <f>IFERROR(__xludf.DUMMYFUNCTION("""COMPUTED_VALUE"""),"MARTÍN SATRIANO")</f>
        <v>MARTÍN SATRIANO</v>
      </c>
      <c r="C61" s="24" t="str">
        <f>IFERROR(__xludf.DUMMYFUNCTION("""COMPUTED_VALUE"""),"Getafe CF")</f>
        <v>Getafe CF</v>
      </c>
    </row>
    <row r="62" ht="15.75" customHeight="1">
      <c r="A62" s="23" t="str">
        <f>IFERROR(__xludf.DUMMYFUNCTION("""COMPUTED_VALUE"""),"172 BIS")</f>
        <v>172 BIS</v>
      </c>
      <c r="B62" s="24" t="str">
        <f>IFERROR(__xludf.DUMMYFUNCTION("""COMPUTED_VALUE"""),"FRAN BELTRÁN")</f>
        <v>FRAN BELTRÁN</v>
      </c>
      <c r="C62" s="24" t="str">
        <f>IFERROR(__xludf.DUMMYFUNCTION("""COMPUTED_VALUE"""),"Girona FC")</f>
        <v>Girona FC</v>
      </c>
    </row>
    <row r="63" ht="15.75" customHeight="1">
      <c r="A63" s="23" t="str">
        <f>IFERROR(__xludf.DUMMYFUNCTION("""COMPUTED_VALUE"""),"174 BIS")</f>
        <v>174 BIS</v>
      </c>
      <c r="B63" s="24" t="str">
        <f>IFERROR(__xludf.DUMMYFUNCTION("""COMPUTED_VALUE"""),"CLAUDIO ECHEVERRI")</f>
        <v>CLAUDIO ECHEVERRI</v>
      </c>
      <c r="C63" s="24" t="str">
        <f>IFERROR(__xludf.DUMMYFUNCTION("""COMPUTED_VALUE"""),"Girona FC")</f>
        <v>Girona FC</v>
      </c>
    </row>
    <row r="64" ht="15.75" customHeight="1">
      <c r="A64" s="23" t="str">
        <f>IFERROR(__xludf.DUMMYFUNCTION("""COMPUTED_VALUE"""),"175 BIS")</f>
        <v>175 BIS</v>
      </c>
      <c r="B64" s="24" t="str">
        <f>IFERROR(__xludf.DUMMYFUNCTION("""COMPUTED_VALUE"""),"THOMAS LEMAR")</f>
        <v>THOMAS LEMAR</v>
      </c>
      <c r="C64" s="24" t="str">
        <f>IFERROR(__xludf.DUMMYFUNCTION("""COMPUTED_VALUE"""),"Girona FC")</f>
        <v>Girona FC</v>
      </c>
    </row>
    <row r="65" ht="15.75" customHeight="1">
      <c r="A65" s="23" t="str">
        <f>IFERROR(__xludf.DUMMYFUNCTION("""COMPUTED_VALUE"""),"196 BIS")</f>
        <v>196 BIS</v>
      </c>
      <c r="B65" s="24" t="str">
        <f>IFERROR(__xludf.DUMMYFUNCTION("""COMPUTED_VALUE"""),"GODUINE KOYALIPOU")</f>
        <v>GODUINE KOYALIPOU</v>
      </c>
      <c r="C65" s="24" t="str">
        <f>IFERROR(__xludf.DUMMYFUNCTION("""COMPUTED_VALUE"""),"Levante UD")</f>
        <v>Levante UD</v>
      </c>
    </row>
    <row r="66" ht="15.75" customHeight="1">
      <c r="A66" s="23" t="str">
        <f>IFERROR(__xludf.DUMMYFUNCTION("""COMPUTED_VALUE"""),"206 BIS")</f>
        <v>206 BIS</v>
      </c>
      <c r="B66" s="24" t="str">
        <f>IFERROR(__xludf.DUMMYFUNCTION("""COMPUTED_VALUE"""),"RAÚL ASENCIO")</f>
        <v>RAÚL ASENCIO</v>
      </c>
      <c r="C66" s="24" t="str">
        <f>IFERROR(__xludf.DUMMYFUNCTION("""COMPUTED_VALUE"""),"Real Madrid")</f>
        <v>Real Madrid</v>
      </c>
    </row>
    <row r="67" ht="15.75" customHeight="1">
      <c r="A67" s="23" t="str">
        <f>IFERROR(__xludf.DUMMYFUNCTION("""COMPUTED_VALUE"""),"207 BIS")</f>
        <v>207 BIS</v>
      </c>
      <c r="B67" s="24" t="str">
        <f>IFERROR(__xludf.DUMMYFUNCTION("""COMPUTED_VALUE"""),"FRAN GARCÍA")</f>
        <v>FRAN GARCÍA</v>
      </c>
      <c r="C67" s="24" t="str">
        <f>IFERROR(__xludf.DUMMYFUNCTION("""COMPUTED_VALUE"""),"Real Madrid")</f>
        <v>Real Madrid</v>
      </c>
    </row>
    <row r="68" ht="15.75" customHeight="1">
      <c r="A68" s="23" t="str">
        <f>IFERROR(__xludf.DUMMYFUNCTION("""COMPUTED_VALUE"""),"233 BIS")</f>
        <v>233 BIS</v>
      </c>
      <c r="B68" s="24" t="str">
        <f>IFERROR(__xludf.DUMMYFUNCTION("""COMPUTED_VALUE"""),"ZITO LUVUMBO")</f>
        <v>ZITO LUVUMBO</v>
      </c>
      <c r="C68" s="24" t="str">
        <f>IFERROR(__xludf.DUMMYFUNCTION("""COMPUTED_VALUE"""),"RCD Mallorca")</f>
        <v>RCD Mallorca</v>
      </c>
    </row>
    <row r="69" ht="15.75" customHeight="1">
      <c r="A69" s="23" t="str">
        <f>IFERROR(__xludf.DUMMYFUNCTION("""COMPUTED_VALUE"""),"252 BIS")</f>
        <v>252 BIS</v>
      </c>
      <c r="B69" s="24" t="str">
        <f>IFERROR(__xludf.DUMMYFUNCTION("""COMPUTED_VALUE"""),"RAÚL MORO")</f>
        <v>RAÚL MORO</v>
      </c>
      <c r="C69" s="24" t="str">
        <f>IFERROR(__xludf.DUMMYFUNCTION("""COMPUTED_VALUE"""),"CA Osasuna")</f>
        <v>CA Osasuna</v>
      </c>
    </row>
    <row r="70" ht="15.75" customHeight="1">
      <c r="A70" s="23" t="str">
        <f>IFERROR(__xludf.DUMMYFUNCTION("""COMPUTED_VALUE"""),"265 BIS")</f>
        <v>265 BIS</v>
      </c>
      <c r="B70" s="24" t="str">
        <f>IFERROR(__xludf.DUMMYFUNCTION("""COMPUTED_VALUE"""),"NICO FONSECA")</f>
        <v>NICO FONSECA</v>
      </c>
      <c r="C70" s="24" t="str">
        <f>IFERROR(__xludf.DUMMYFUNCTION("""COMPUTED_VALUE"""),"Real Oviedo")</f>
        <v>Real Oviedo</v>
      </c>
    </row>
    <row r="71" ht="15.75" customHeight="1">
      <c r="A71" s="23" t="str">
        <f>IFERROR(__xludf.DUMMYFUNCTION("""COMPUTED_VALUE"""),"285 BIS")</f>
        <v>285 BIS</v>
      </c>
      <c r="B71" s="24" t="str">
        <f>IFERROR(__xludf.DUMMYFUNCTION("""COMPUTED_VALUE"""),"CARLOS MARTÍN")</f>
        <v>CARLOS MARTÍN</v>
      </c>
      <c r="C71" s="24" t="str">
        <f>IFERROR(__xludf.DUMMYFUNCTION("""COMPUTED_VALUE"""),"Rayo Vallecano")</f>
        <v>Rayo Vallecano</v>
      </c>
    </row>
    <row r="72" ht="15.75" customHeight="1">
      <c r="A72" s="23" t="str">
        <f>IFERROR(__xludf.DUMMYFUNCTION("""COMPUTED_VALUE"""),"288 BIS")</f>
        <v>288 BIS</v>
      </c>
      <c r="B72" s="24" t="str">
        <f>IFERROR(__xludf.DUMMYFUNCTION("""COMPUTED_VALUE"""),"ILIAS AKHOMACH")</f>
        <v>ILIAS AKHOMACH</v>
      </c>
      <c r="C72" s="24" t="str">
        <f>IFERROR(__xludf.DUMMYFUNCTION("""COMPUTED_VALUE"""),"Rayo Vallecano")</f>
        <v>Rayo Vallecano</v>
      </c>
    </row>
    <row r="73" ht="15.75" customHeight="1">
      <c r="A73" s="23" t="str">
        <f>IFERROR(__xludf.DUMMYFUNCTION("""COMPUTED_VALUE"""),"293 BIS")</f>
        <v>293 BIS</v>
      </c>
      <c r="B73" s="24" t="str">
        <f>IFERROR(__xludf.DUMMYFUNCTION("""COMPUTED_VALUE"""),"JON MARTIN")</f>
        <v>JON MARTIN</v>
      </c>
      <c r="C73" s="24" t="str">
        <f>IFERROR(__xludf.DUMMYFUNCTION("""COMPUTED_VALUE"""),"Real Sociedad")</f>
        <v>Real Sociedad</v>
      </c>
    </row>
    <row r="74" ht="15.75" customHeight="1">
      <c r="A74" s="23" t="str">
        <f>IFERROR(__xludf.DUMMYFUNCTION("""COMPUTED_VALUE"""),"305 BIS")</f>
        <v>305 BIS</v>
      </c>
      <c r="B74" s="24" t="str">
        <f>IFERROR(__xludf.DUMMYFUNCTION("""COMPUTED_VALUE"""),"WESLEY GASSOVA")</f>
        <v>WESLEY GASSOVA</v>
      </c>
      <c r="C74" s="24" t="str">
        <f>IFERROR(__xludf.DUMMYFUNCTION("""COMPUTED_VALUE"""),"Real Sociedad")</f>
        <v>Real Sociedad</v>
      </c>
    </row>
    <row r="75" ht="15.75" customHeight="1">
      <c r="A75" s="23" t="str">
        <f>IFERROR(__xludf.DUMMYFUNCTION("""COMPUTED_VALUE"""),"314 BIS")</f>
        <v>314 BIS</v>
      </c>
      <c r="B75" s="24" t="str">
        <f>IFERROR(__xludf.DUMMYFUNCTION("""COMPUTED_VALUE"""),"JOAQUÍN OSO")</f>
        <v>JOAQUÍN OSO</v>
      </c>
      <c r="C75" s="24" t="str">
        <f>IFERROR(__xludf.DUMMYFUNCTION("""COMPUTED_VALUE"""),"Sevilla FC")</f>
        <v>Sevilla FC</v>
      </c>
    </row>
    <row r="76" ht="15.75" customHeight="1">
      <c r="A76" s="23" t="str">
        <f>IFERROR(__xludf.DUMMYFUNCTION("""COMPUTED_VALUE"""),"332 BIS")</f>
        <v>332 BIS</v>
      </c>
      <c r="B76" s="24" t="str">
        <f>IFERROR(__xludf.DUMMYFUNCTION("""COMPUTED_VALUE"""),"CHRISTIAN NÚÑEZ")</f>
        <v>CHRISTIAN NÚÑEZ</v>
      </c>
      <c r="C76" s="24" t="str">
        <f>IFERROR(__xludf.DUMMYFUNCTION("""COMPUTED_VALUE"""),"Valencia CF")</f>
        <v>Valencia CF</v>
      </c>
    </row>
    <row r="77" ht="15.75" customHeight="1">
      <c r="A77" s="23" t="str">
        <f>IFERROR(__xludf.DUMMYFUNCTION("""COMPUTED_VALUE"""),"334 BIS")</f>
        <v>334 BIS</v>
      </c>
      <c r="B77" s="24" t="str">
        <f>IFERROR(__xludf.DUMMYFUNCTION("""COMPUTED_VALUE"""),"GUIDO RODRÍGUEZ")</f>
        <v>GUIDO RODRÍGUEZ</v>
      </c>
      <c r="C77" s="24" t="str">
        <f>IFERROR(__xludf.DUMMYFUNCTION("""COMPUTED_VALUE"""),"Valencia CF")</f>
        <v>Valencia CF</v>
      </c>
    </row>
    <row r="78" ht="15.75" customHeight="1">
      <c r="A78" s="23" t="str">
        <f>IFERROR(__xludf.DUMMYFUNCTION("""COMPUTED_VALUE"""),"340 BIS")</f>
        <v>340 BIS</v>
      </c>
      <c r="B78" s="24" t="str">
        <f>IFERROR(__xludf.DUMMYFUNCTION("""COMPUTED_VALUE"""),"DANI RABA")</f>
        <v>DANI RABA</v>
      </c>
      <c r="C78" s="24" t="str">
        <f>IFERROR(__xludf.DUMMYFUNCTION("""COMPUTED_VALUE"""),"Valencia CF")</f>
        <v>Valencia CF</v>
      </c>
    </row>
    <row r="79" ht="15.75" customHeight="1">
      <c r="A79" s="23" t="str">
        <f>IFERROR(__xludf.DUMMYFUNCTION("""COMPUTED_VALUE"""),"341 BIS")</f>
        <v>341 BIS</v>
      </c>
      <c r="B79" s="24" t="str">
        <f>IFERROR(__xludf.DUMMYFUNCTION("""COMPUTED_VALUE"""),"UMAR SADIQ")</f>
        <v>UMAR SADIQ</v>
      </c>
      <c r="C79" s="24" t="str">
        <f>IFERROR(__xludf.DUMMYFUNCTION("""COMPUTED_VALUE"""),"Valencia CF")</f>
        <v>Valencia CF</v>
      </c>
    </row>
    <row r="80" ht="15.75" customHeight="1">
      <c r="A80" s="23" t="str">
        <f>IFERROR(__xludf.DUMMYFUNCTION("""COMPUTED_VALUE"""),"342 BIS")</f>
        <v>342 BIS</v>
      </c>
      <c r="B80" s="24" t="str">
        <f>IFERROR(__xludf.DUMMYFUNCTION("""COMPUTED_VALUE"""),"LUCAS BELTRÁN")</f>
        <v>LUCAS BELTRÁN</v>
      </c>
      <c r="C80" s="24" t="str">
        <f>IFERROR(__xludf.DUMMYFUNCTION("""COMPUTED_VALUE"""),"Valencia CF")</f>
        <v>Valencia CF</v>
      </c>
    </row>
    <row r="81" ht="15.75" customHeight="1">
      <c r="A81" s="23" t="str">
        <f>IFERROR(__xludf.DUMMYFUNCTION("""COMPUTED_VALUE"""),"350 BIS")</f>
        <v>350 BIS</v>
      </c>
      <c r="B81" s="24" t="str">
        <f>IFERROR(__xludf.DUMMYFUNCTION("""COMPUTED_VALUE"""),"ALFONSO PEDRAZA")</f>
        <v>ALFONSO PEDRAZA</v>
      </c>
      <c r="C81" s="24" t="str">
        <f>IFERROR(__xludf.DUMMYFUNCTION("""COMPUTED_VALUE"""),"Villarreal CF")</f>
        <v>Villarreal CF</v>
      </c>
    </row>
    <row r="82" ht="15.75" customHeight="1">
      <c r="A82" s="23" t="str">
        <f>IFERROR(__xludf.DUMMYFUNCTION("""COMPUTED_VALUE"""),"356 BIS")</f>
        <v>356 BIS</v>
      </c>
      <c r="B82" s="24" t="str">
        <f>IFERROR(__xludf.DUMMYFUNCTION("""COMPUTED_VALUE"""),"MANOR SOLOMON")</f>
        <v>MANOR SOLOMON</v>
      </c>
      <c r="C82" s="24" t="str">
        <f>IFERROR(__xludf.DUMMYFUNCTION("""COMPUTED_VALUE"""),"Villarreal CF")</f>
        <v>Villarreal CF</v>
      </c>
    </row>
    <row r="83" ht="15.75" customHeight="1">
      <c r="A83" s="23" t="str">
        <f>IFERROR(__xludf.DUMMYFUNCTION("""COMPUTED_VALUE"""),"2 Momentum")</f>
        <v>2 Momentum</v>
      </c>
      <c r="B83" s="24" t="str">
        <f>IFERROR(__xludf.DUMMYFUNCTION("""COMPUTED_VALUE"""),"Pedri")</f>
        <v>Pedri</v>
      </c>
      <c r="C83" s="24" t="str">
        <f>IFERROR(__xludf.DUMMYFUNCTION("""COMPUTED_VALUE"""),"FC Barcelona")</f>
        <v>FC Barcelona</v>
      </c>
    </row>
    <row r="84" ht="15.75" customHeight="1">
      <c r="A84" s="23" t="str">
        <f>IFERROR(__xludf.DUMMYFUNCTION("""COMPUTED_VALUE"""),"3 Momentum")</f>
        <v>3 Momentum</v>
      </c>
      <c r="B84" s="24" t="str">
        <f>IFERROR(__xludf.DUMMYFUNCTION("""COMPUTED_VALUE"""),"Iago Aspas")</f>
        <v>Iago Aspas</v>
      </c>
      <c r="C84" s="24" t="str">
        <f>IFERROR(__xludf.DUMMYFUNCTION("""COMPUTED_VALUE"""),"RC Celta")</f>
        <v>RC Celta</v>
      </c>
    </row>
    <row r="85" ht="15.75" customHeight="1">
      <c r="A85" s="23" t="str">
        <f>IFERROR(__xludf.DUMMYFUNCTION("""COMPUTED_VALUE"""),"4 Momentum")</f>
        <v>4 Momentum</v>
      </c>
      <c r="B85" s="24" t="str">
        <f>IFERROR(__xludf.DUMMYFUNCTION("""COMPUTED_VALUE"""),"Etta Eyong")</f>
        <v>Etta Eyong</v>
      </c>
      <c r="C85" s="24" t="str">
        <f>IFERROR(__xludf.DUMMYFUNCTION("""COMPUTED_VALUE"""),"UD Levante")</f>
        <v>UD Levante</v>
      </c>
    </row>
    <row r="86" ht="15.75" customHeight="1">
      <c r="A86" s="23" t="str">
        <f>IFERROR(__xludf.DUMMYFUNCTION("""COMPUTED_VALUE"""),"5 Momentum")</f>
        <v>5 Momentum</v>
      </c>
      <c r="B86" s="24" t="str">
        <f>IFERROR(__xludf.DUMMYFUNCTION("""COMPUTED_VALUE"""),"Álvaro García")</f>
        <v>Álvaro García</v>
      </c>
      <c r="C86" s="24" t="str">
        <f>IFERROR(__xludf.DUMMYFUNCTION("""COMPUTED_VALUE"""),"Rayo Vallecano")</f>
        <v>Rayo Vallecano</v>
      </c>
    </row>
    <row r="87" ht="15.75" customHeight="1">
      <c r="A87" s="23" t="str">
        <f>IFERROR(__xludf.DUMMYFUNCTION("""COMPUTED_VALUE"""),"1 Maxi Momentum")</f>
        <v>1 Maxi Momentum</v>
      </c>
      <c r="B87" s="24" t="str">
        <f>IFERROR(__xludf.DUMMYFUNCTION("""COMPUTED_VALUE"""),"Lamine Yamal / Vinicius")</f>
        <v>Lamine Yamal / Vinicius</v>
      </c>
      <c r="C87" s="24" t="str">
        <f>IFERROR(__xludf.DUMMYFUNCTION("""COMPUTED_VALUE"""),"Varios")</f>
        <v>Varios</v>
      </c>
    </row>
    <row r="88" ht="15.75" customHeight="1">
      <c r="A88" s="23" t="str">
        <f>IFERROR(__xludf.DUMMYFUNCTION("""COMPUTED_VALUE"""),"1 Míticos Invencible")</f>
        <v>1 Míticos Invencible</v>
      </c>
      <c r="B88" s="24" t="str">
        <f>IFERROR(__xludf.DUMMYFUNCTION("""COMPUTED_VALUE"""),"Puro Oro")</f>
        <v>Puro Oro</v>
      </c>
      <c r="C88" s="24" t="str">
        <f>IFERROR(__xludf.DUMMYFUNCTION("""COMPUTED_VALUE"""),"Varios")</f>
        <v>Varios</v>
      </c>
    </row>
    <row r="89" ht="15.75" customHeight="1">
      <c r="A89" s="23" t="str">
        <f>IFERROR(__xludf.DUMMYFUNCTION("""COMPUTED_VALUE"""),"2 Míticos Invencible")</f>
        <v>2 Míticos Invencible</v>
      </c>
      <c r="B89" s="24" t="str">
        <f>IFERROR(__xludf.DUMMYFUNCTION("""COMPUTED_VALUE"""),"Atleti Atleti!")</f>
        <v>Atleti Atleti!</v>
      </c>
      <c r="C89" s="24" t="str">
        <f>IFERROR(__xludf.DUMMYFUNCTION("""COMPUTED_VALUE"""),"Atlético de Madrid")</f>
        <v>Atlético de Madrid</v>
      </c>
    </row>
    <row r="90" ht="15.75" customHeight="1">
      <c r="A90" s="23" t="str">
        <f>IFERROR(__xludf.DUMMYFUNCTION("""COMPUTED_VALUE"""),"1 Panini Extra Gold")</f>
        <v>1 Panini Extra Gold</v>
      </c>
      <c r="B90" s="24" t="str">
        <f>IFERROR(__xludf.DUMMYFUNCTION("""COMPUTED_VALUE"""),"Lamine Yamal")</f>
        <v>Lamine Yamal</v>
      </c>
      <c r="C90" s="24" t="str">
        <f>IFERROR(__xludf.DUMMYFUNCTION("""COMPUTED_VALUE"""),"FC Barcelona")</f>
        <v>FC Barcelona</v>
      </c>
    </row>
    <row r="91" ht="15.75" customHeight="1">
      <c r="A91" s="23" t="str">
        <f>IFERROR(__xludf.DUMMYFUNCTION("""COMPUTED_VALUE"""),"2 Panini Extra Gold")</f>
        <v>2 Panini Extra Gold</v>
      </c>
      <c r="B91" s="24" t="str">
        <f>IFERROR(__xludf.DUMMYFUNCTION("""COMPUTED_VALUE"""),"Mbappé")</f>
        <v>Mbappé</v>
      </c>
      <c r="C91" s="24" t="str">
        <f>IFERROR(__xludf.DUMMYFUNCTION("""COMPUTED_VALUE"""),"Real Madrid")</f>
        <v>Real Madrid</v>
      </c>
    </row>
    <row r="92" ht="15.75" customHeight="1">
      <c r="A92" s="23" t="str">
        <f>IFERROR(__xludf.DUMMYFUNCTION("""COMPUTED_VALUE"""),"1 Edición Limitada (Tin Box)")</f>
        <v>1 Edición Limitada (Tin Box)</v>
      </c>
      <c r="B92" s="24" t="str">
        <f>IFERROR(__xludf.DUMMYFUNCTION("""COMPUTED_VALUE"""),"Sancet")</f>
        <v>Sancet</v>
      </c>
      <c r="C92" s="24" t="str">
        <f>IFERROR(__xludf.DUMMYFUNCTION("""COMPUTED_VALUE"""),"Athletic Club")</f>
        <v>Athletic Club</v>
      </c>
    </row>
    <row r="93" ht="15.75" customHeight="1">
      <c r="A93" s="23" t="str">
        <f>IFERROR(__xludf.DUMMYFUNCTION("""COMPUTED_VALUE"""),"2 Edición Limitada (Tin Box)")</f>
        <v>2 Edición Limitada (Tin Box)</v>
      </c>
      <c r="B93" s="24" t="str">
        <f>IFERROR(__xludf.DUMMYFUNCTION("""COMPUTED_VALUE"""),"Koke")</f>
        <v>Koke</v>
      </c>
      <c r="C93" s="24" t="str">
        <f>IFERROR(__xludf.DUMMYFUNCTION("""COMPUTED_VALUE"""),"Atlético de Madrid")</f>
        <v>Atlético de Madrid</v>
      </c>
    </row>
    <row r="94" ht="15.75" customHeight="1">
      <c r="A94" s="23" t="str">
        <f>IFERROR(__xludf.DUMMYFUNCTION("""COMPUTED_VALUE"""),"3 Edición Limitada (Tin Box)")</f>
        <v>3 Edición Limitada (Tin Box)</v>
      </c>
      <c r="B94" s="24" t="str">
        <f>IFERROR(__xludf.DUMMYFUNCTION("""COMPUTED_VALUE"""),"Güler")</f>
        <v>Güler</v>
      </c>
      <c r="C94" s="24" t="str">
        <f>IFERROR(__xludf.DUMMYFUNCTION("""COMPUTED_VALUE"""),"Real Madrid")</f>
        <v>Real Madrid</v>
      </c>
    </row>
    <row r="95" ht="15.75" customHeight="1">
      <c r="A95" s="23" t="str">
        <f>IFERROR(__xludf.DUMMYFUNCTION("""COMPUTED_VALUE"""),"4 Edición Limitada (Tin Box)")</f>
        <v>4 Edición Limitada (Tin Box)</v>
      </c>
      <c r="B95" s="24" t="str">
        <f>IFERROR(__xludf.DUMMYFUNCTION("""COMPUTED_VALUE"""),"Mikautadze")</f>
        <v>Mikautadze</v>
      </c>
      <c r="C95" s="24" t="str">
        <f>IFERROR(__xludf.DUMMYFUNCTION("""COMPUTED_VALUE"""),"Villarreal CF")</f>
        <v>Villarreal CF</v>
      </c>
    </row>
    <row r="96" ht="15.75" customHeight="1">
      <c r="A96" s="23" t="str">
        <f>IFERROR(__xludf.DUMMYFUNCTION("""COMPUTED_VALUE"""),"4 Sobre Premium")</f>
        <v>4 Sobre Premium</v>
      </c>
      <c r="B96" s="24" t="str">
        <f>IFERROR(__xludf.DUMMYFUNCTION("""COMPUTED_VALUE"""),"Ferran Torres (Firma Serigrafiada)")</f>
        <v>Ferran Torres (Firma Serigrafiada)</v>
      </c>
      <c r="C96" s="24" t="str">
        <f>IFERROR(__xludf.DUMMYFUNCTION("""COMPUTED_VALUE"""),"FC Barcelona")</f>
        <v>FC Barcelona</v>
      </c>
    </row>
    <row r="97" ht="15.75" customHeight="1">
      <c r="A97" s="23" t="str">
        <f>IFERROR(__xludf.DUMMYFUNCTION("""COMPUTED_VALUE"""),"7 Sobre Premium")</f>
        <v>7 Sobre Premium</v>
      </c>
      <c r="B97" s="24" t="str">
        <f>IFERROR(__xludf.DUMMYFUNCTION("""COMPUTED_VALUE"""),"Ayoze")</f>
        <v>Ayoze</v>
      </c>
      <c r="C97" s="24" t="str">
        <f>IFERROR(__xludf.DUMMYFUNCTION("""COMPUTED_VALUE"""),"Villarreal CF")</f>
        <v>Villarreal CF</v>
      </c>
    </row>
    <row r="98" ht="15.75" customHeight="1">
      <c r="A98" s="23" t="str">
        <f>IFERROR(__xludf.DUMMYFUNCTION("""COMPUTED_VALUE"""),"8 Sobre Premium")</f>
        <v>8 Sobre Premium</v>
      </c>
      <c r="B98" s="24" t="str">
        <f>IFERROR(__xludf.DUMMYFUNCTION("""COMPUTED_VALUE"""),"Ayoze (Firma Serigrafiada)")</f>
        <v>Ayoze (Firma Serigrafiada)</v>
      </c>
      <c r="C98" s="24" t="str">
        <f>IFERROR(__xludf.DUMMYFUNCTION("""COMPUTED_VALUE"""),"Villarreal CF")</f>
        <v>Villarreal CF</v>
      </c>
    </row>
    <row r="99" ht="15.75" customHeight="1">
      <c r="A99" s="23" t="str">
        <f>IFERROR(__xludf.DUMMYFUNCTION("""COMPUTED_VALUE"""),"Mom. Oro")</f>
        <v>Mom. Oro</v>
      </c>
      <c r="B99" s="24" t="str">
        <f>IFERROR(__xludf.DUMMYFUNCTION("""COMPUTED_VALUE"""),"Lamine Yamal")</f>
        <v>Lamine Yamal</v>
      </c>
      <c r="C99" s="24" t="str">
        <f>IFERROR(__xludf.DUMMYFUNCTION("""COMPUTED_VALUE"""),"FC Barcelona")</f>
        <v>FC Barcelona</v>
      </c>
    </row>
    <row r="100" ht="15.75" customHeight="1">
      <c r="A100" s="23" t="str">
        <f>IFERROR(__xludf.DUMMYFUNCTION("""COMPUTED_VALUE"""),"Mom. Oro")</f>
        <v>Mom. Oro</v>
      </c>
      <c r="B100" s="24" t="str">
        <f>IFERROR(__xludf.DUMMYFUNCTION("""COMPUTED_VALUE"""),"Kylian Mbappé")</f>
        <v>Kylian Mbappé</v>
      </c>
      <c r="C100" s="24" t="str">
        <f>IFERROR(__xludf.DUMMYFUNCTION("""COMPUTED_VALUE"""),"Real Madrid")</f>
        <v>Real Madrid</v>
      </c>
    </row>
    <row r="101" ht="15.75" customHeight="1">
      <c r="A101" s="23" t="str">
        <f>IFERROR(__xludf.DUMMYFUNCTION("""COMPUTED_VALUE"""),"Mom. Oro")</f>
        <v>Mom. Oro</v>
      </c>
      <c r="B101" s="24" t="str">
        <f>IFERROR(__xludf.DUMMYFUNCTION("""COMPUTED_VALUE"""),"Jude Bellingham")</f>
        <v>Jude Bellingham</v>
      </c>
      <c r="C101" s="24" t="str">
        <f>IFERROR(__xludf.DUMMYFUNCTION("""COMPUTED_VALUE"""),"Real Madrid")</f>
        <v>Real Madrid</v>
      </c>
    </row>
    <row r="102" ht="15.75" customHeight="1">
      <c r="A102" s="23" t="str">
        <f>IFERROR(__xludf.DUMMYFUNCTION("""COMPUTED_VALUE"""),"Mom. Oro Ed. Limitada")</f>
        <v>Mom. Oro Ed. Limitada</v>
      </c>
      <c r="B102" s="24" t="str">
        <f>IFERROR(__xludf.DUMMYFUNCTION("""COMPUTED_VALUE"""),"Robert Lewandowski")</f>
        <v>Robert Lewandowski</v>
      </c>
      <c r="C102" s="24" t="str">
        <f>IFERROR(__xludf.DUMMYFUNCTION("""COMPUTED_VALUE"""),"FC Barcelona")</f>
        <v>FC Barcelona</v>
      </c>
    </row>
    <row r="103" ht="15.75" customHeight="1">
      <c r="A103" s="23" t="str">
        <f>IFERROR(__xludf.DUMMYFUNCTION("""COMPUTED_VALUE"""),"Mom. Oro Ed. Limitada")</f>
        <v>Mom. Oro Ed. Limitada</v>
      </c>
      <c r="B103" s="24" t="str">
        <f>IFERROR(__xludf.DUMMYFUNCTION("""COMPUTED_VALUE"""),"Fede Valverde")</f>
        <v>Fede Valverde</v>
      </c>
      <c r="C103" s="24" t="str">
        <f>IFERROR(__xludf.DUMMYFUNCTION("""COMPUTED_VALUE"""),"Real Madrid")</f>
        <v>Real Madrid</v>
      </c>
    </row>
    <row r="104" ht="15.75" customHeight="1">
      <c r="A104" s="23" t="str">
        <f>IFERROR(__xludf.DUMMYFUNCTION("""COMPUTED_VALUE"""),"Mom. Oro Ed. Limitada")</f>
        <v>Mom. Oro Ed. Limitada</v>
      </c>
      <c r="B104" s="24" t="str">
        <f>IFERROR(__xludf.DUMMYFUNCTION("""COMPUTED_VALUE"""),"Julián Alvarez")</f>
        <v>Julián Alvarez</v>
      </c>
      <c r="C104" s="24" t="str">
        <f>IFERROR(__xludf.DUMMYFUNCTION("""COMPUTED_VALUE"""),"Atlético de Madrid")</f>
        <v>Atlético de Madrid</v>
      </c>
    </row>
    <row r="105" ht="15.75" customHeight="1">
      <c r="A105" s="23" t="str">
        <f>IFERROR(__xludf.DUMMYFUNCTION("""COMPUTED_VALUE"""),"NUEVO DIAMANTE")</f>
        <v>NUEVO DIAMANTE</v>
      </c>
      <c r="B105" s="24" t="str">
        <f>IFERROR(__xludf.DUMMYFUNCTION("""COMPUTED_VALUE"""),"Pau Cubarsí")</f>
        <v>Pau Cubarsí</v>
      </c>
      <c r="C105" s="24" t="str">
        <f>IFERROR(__xludf.DUMMYFUNCTION("""COMPUTED_VALUE"""),"FC Barcelona")</f>
        <v>FC Barcelona</v>
      </c>
    </row>
    <row r="106" ht="15.75" customHeight="1">
      <c r="A106" s="23" t="str">
        <f>IFERROR(__xludf.DUMMYFUNCTION("""COMPUTED_VALUE"""),"NUEVO DIAMANTE")</f>
        <v>NUEVO DIAMANTE</v>
      </c>
      <c r="B106" s="24" t="str">
        <f>IFERROR(__xludf.DUMMYFUNCTION("""COMPUTED_VALUE"""),"Arda Güler")</f>
        <v>Arda Güler</v>
      </c>
      <c r="C106" s="24" t="str">
        <f>IFERROR(__xludf.DUMMYFUNCTION("""COMPUTED_VALUE"""),"Real Madrid")</f>
        <v>Real Madrid</v>
      </c>
    </row>
    <row r="107" ht="15.75" customHeight="1">
      <c r="A107" s="23" t="str">
        <f>IFERROR(__xludf.DUMMYFUNCTION("""COMPUTED_VALUE"""),"NUEVO DIAMANTE")</f>
        <v>NUEVO DIAMANTE</v>
      </c>
      <c r="B107" s="24" t="str">
        <f>IFERROR(__xludf.DUMMYFUNCTION("""COMPUTED_VALUE"""),"Fermín López")</f>
        <v>Fermín López</v>
      </c>
      <c r="C107" s="24" t="str">
        <f>IFERROR(__xludf.DUMMYFUNCTION("""COMPUTED_VALUE"""),"FC Barcelona")</f>
        <v>FC Barcelona</v>
      </c>
    </row>
    <row r="108" ht="15.75" customHeight="1">
      <c r="A108" s="23" t="str">
        <f>IFERROR(__xludf.DUMMYFUNCTION("""COMPUTED_VALUE"""),"NUEVO DIAMANTE")</f>
        <v>NUEVO DIAMANTE</v>
      </c>
      <c r="B108" s="25" t="str">
        <f>IFERROR(__xludf.DUMMYFUNCTION("""COMPUTED_VALUE"""),"Endrick Felipe")</f>
        <v>Endrick Felipe</v>
      </c>
      <c r="C108" s="25" t="str">
        <f>IFERROR(__xludf.DUMMYFUNCTION("""COMPUTED_VALUE"""),"Real Madrid")</f>
        <v>Real Madrid</v>
      </c>
    </row>
    <row r="109" ht="15.75" customHeight="1">
      <c r="A109" s="26" t="str">
        <f>IFERROR(__xludf.DUMMYFUNCTION("""COMPUTED_VALUE"""),"NUEVO DIAMANTE")</f>
        <v>NUEVO DIAMANTE</v>
      </c>
      <c r="B109" s="25" t="str">
        <f>IFERROR(__xludf.DUMMYFUNCTION("""COMPUTED_VALUE"""),"Marc Casadó")</f>
        <v>Marc Casadó</v>
      </c>
      <c r="C109" s="25" t="str">
        <f>IFERROR(__xludf.DUMMYFUNCTION("""COMPUTED_VALUE"""),"FC Barcelona")</f>
        <v>FC Barcelona</v>
      </c>
    </row>
    <row r="110" ht="15.75" customHeight="1">
      <c r="A110" s="26" t="str">
        <f>IFERROR(__xludf.DUMMYFUNCTION("""COMPUTED_VALUE"""),"NUEVO DIAMANTE")</f>
        <v>NUEVO DIAMANTE</v>
      </c>
      <c r="B110" s="25" t="str">
        <f>IFERROR(__xludf.DUMMYFUNCTION("""COMPUTED_VALUE"""),"Cristhian Mosquera")</f>
        <v>Cristhian Mosquera</v>
      </c>
      <c r="C110" s="25" t="str">
        <f>IFERROR(__xludf.DUMMYFUNCTION("""COMPUTED_VALUE"""),"Valencia CF")</f>
        <v>Valencia CF</v>
      </c>
    </row>
    <row r="111" ht="15.75" customHeight="1">
      <c r="A111" s="26" t="str">
        <f>IFERROR(__xludf.DUMMYFUNCTION("""COMPUTED_VALUE"""),"NUEVO DIAMANTE")</f>
        <v>NUEVO DIAMANTE</v>
      </c>
      <c r="B111" s="25" t="str">
        <f>IFERROR(__xludf.DUMMYFUNCTION("""COMPUTED_VALUE"""),"Assane Diao")</f>
        <v>Assane Diao</v>
      </c>
      <c r="C111" s="25" t="str">
        <f>IFERROR(__xludf.DUMMYFUNCTION("""COMPUTED_VALUE"""),"Real Betis")</f>
        <v>Real Betis</v>
      </c>
    </row>
    <row r="112" ht="15.75" customHeight="1">
      <c r="A112" s="26" t="str">
        <f>IFERROR(__xludf.DUMMYFUNCTION("""COMPUTED_VALUE"""),"NUEVO DIAMANTE")</f>
        <v>NUEVO DIAMANTE</v>
      </c>
      <c r="B112" s="25" t="str">
        <f>IFERROR(__xludf.DUMMYFUNCTION("""COMPUTED_VALUE"""),"Samu Omorodion")</f>
        <v>Samu Omorodion</v>
      </c>
      <c r="C112" s="25" t="str">
        <f>IFERROR(__xludf.DUMMYFUNCTION("""COMPUTED_VALUE"""),"Atlético de Madrid")</f>
        <v>Atlético de Madrid</v>
      </c>
    </row>
    <row r="113" ht="15.75" customHeight="1">
      <c r="A113" s="26" t="str">
        <f>IFERROR(__xludf.DUMMYFUNCTION("""COMPUTED_VALUE"""),"NUEVO DIAMANTE")</f>
        <v>NUEVO DIAMANTE</v>
      </c>
      <c r="B113" s="25" t="str">
        <f>IFERROR(__xludf.DUMMYFUNCTION("""COMPUTED_VALUE"""),"Isaac Romero")</f>
        <v>Isaac Romero</v>
      </c>
      <c r="C113" s="25" t="str">
        <f>IFERROR(__xludf.DUMMYFUNCTION("""COMPUTED_VALUE"""),"Sevilla FC")</f>
        <v>Sevilla FC</v>
      </c>
    </row>
    <row r="114" ht="15.75" customHeight="1">
      <c r="A114" s="26" t="str">
        <f>IFERROR(__xludf.DUMMYFUNCTION("""COMPUTED_VALUE"""),"NUEVO DIAMANTE")</f>
        <v>NUEVO DIAMANTE</v>
      </c>
      <c r="B114" s="25" t="str">
        <f>IFERROR(__xludf.DUMMYFUNCTION("""COMPUTED_VALUE"""),"Alberto Moleiro")</f>
        <v>Alberto Moleiro</v>
      </c>
      <c r="C114" s="25" t="str">
        <f>IFERROR(__xludf.DUMMYFUNCTION("""COMPUTED_VALUE"""),"UD Las Palmas")</f>
        <v>UD Las Palmas</v>
      </c>
    </row>
    <row r="115" ht="15.75" customHeight="1">
      <c r="A115" s="26" t="str">
        <f>IFERROR(__xludf.DUMMYFUNCTION("""COMPUTED_VALUE"""),"NUEVO DIAMANTE")</f>
        <v>NUEVO DIAMANTE</v>
      </c>
      <c r="B115" s="25" t="str">
        <f>IFERROR(__xludf.DUMMYFUNCTION("""COMPUTED_VALUE"""),"Bryan Zaragoza")</f>
        <v>Bryan Zaragoza</v>
      </c>
      <c r="C115" s="25" t="str">
        <f>IFERROR(__xludf.DUMMYFUNCTION("""COMPUTED_VALUE"""),"CA Osasuna")</f>
        <v>CA Osasuna</v>
      </c>
    </row>
    <row r="116" ht="15.75" customHeight="1">
      <c r="A116" s="26" t="str">
        <f>IFERROR(__xludf.DUMMYFUNCTION("""COMPUTED_VALUE"""),"NUEVO DIAMANTE")</f>
        <v>NUEVO DIAMANTE</v>
      </c>
      <c r="B116" s="25" t="str">
        <f>IFERROR(__xludf.DUMMYFUNCTION("""COMPUTED_VALUE"""),"Vitor Roque")</f>
        <v>Vitor Roque</v>
      </c>
      <c r="C116" s="25" t="str">
        <f>IFERROR(__xludf.DUMMYFUNCTION("""COMPUTED_VALUE"""),"Real Betis")</f>
        <v>Real Betis</v>
      </c>
    </row>
    <row r="117" ht="15.75" customHeight="1">
      <c r="A117" s="26">
        <f>IFERROR(__xludf.DUMMYFUNCTION("""COMPUTED_VALUE"""),479.0)</f>
        <v>479</v>
      </c>
      <c r="B117" s="25" t="str">
        <f>IFERROR(__xludf.DUMMYFUNCTION("""COMPUTED_VALUE"""),"EDUARDO COUDET")</f>
        <v>EDUARDO COUDET</v>
      </c>
      <c r="C117" s="25" t="str">
        <f>IFERROR(__xludf.DUMMYFUNCTION("""COMPUTED_VALUE"""),"D. ALAVÉS")</f>
        <v>D. ALAVÉS</v>
      </c>
    </row>
    <row r="118" ht="15.75" customHeight="1">
      <c r="A118" s="26">
        <f>IFERROR(__xludf.DUMMYFUNCTION("""COMPUTED_VALUE"""),480.0)</f>
        <v>480</v>
      </c>
      <c r="B118" s="25" t="str">
        <f>IFERROR(__xludf.DUMMYFUNCTION("""COMPUTED_VALUE"""),"ERNESTO VALVERDE")</f>
        <v>ERNESTO VALVERDE</v>
      </c>
      <c r="C118" s="25" t="str">
        <f>IFERROR(__xludf.DUMMYFUNCTION("""COMPUTED_VALUE"""),"ATHLETIC CLUB")</f>
        <v>ATHLETIC CLUB</v>
      </c>
    </row>
    <row r="119" ht="15.75" customHeight="1">
      <c r="A119" s="26">
        <f>IFERROR(__xludf.DUMMYFUNCTION("""COMPUTED_VALUE"""),482.0)</f>
        <v>482</v>
      </c>
      <c r="B119" s="25" t="str">
        <f>IFERROR(__xludf.DUMMYFUNCTION("""COMPUTED_VALUE"""),"HANSI FLICK")</f>
        <v>HANSI FLICK</v>
      </c>
      <c r="C119" s="25" t="str">
        <f>IFERROR(__xludf.DUMMYFUNCTION("""COMPUTED_VALUE"""),"FC BARCELONA")</f>
        <v>FC BARCELONA</v>
      </c>
    </row>
    <row r="120" ht="15.75" customHeight="1">
      <c r="A120" s="26">
        <f>IFERROR(__xludf.DUMMYFUNCTION("""COMPUTED_VALUE"""),483.0)</f>
        <v>483</v>
      </c>
      <c r="B120" s="25" t="str">
        <f>IFERROR(__xludf.DUMMYFUNCTION("""COMPUTED_VALUE"""),"MANUEL PELLEGRINI")</f>
        <v>MANUEL PELLEGRINI</v>
      </c>
      <c r="C120" s="25" t="str">
        <f>IFERROR(__xludf.DUMMYFUNCTION("""COMPUTED_VALUE"""),"REAL BETIS")</f>
        <v>REAL BETIS</v>
      </c>
    </row>
    <row r="121" ht="15.75" customHeight="1">
      <c r="A121" s="26">
        <f>IFERROR(__xludf.DUMMYFUNCTION("""COMPUTED_VALUE"""),484.0)</f>
        <v>484</v>
      </c>
      <c r="B121" s="25" t="str">
        <f>IFERROR(__xludf.DUMMYFUNCTION("""COMPUTED_VALUE"""),"CLAUDIO GIRÁLDEZ")</f>
        <v>CLAUDIO GIRÁLDEZ</v>
      </c>
      <c r="C121" s="25" t="str">
        <f>IFERROR(__xludf.DUMMYFUNCTION("""COMPUTED_VALUE"""),"RC CELTA")</f>
        <v>RC CELTA</v>
      </c>
    </row>
    <row r="122" ht="15.75" customHeight="1">
      <c r="A122" s="26">
        <f>IFERROR(__xludf.DUMMYFUNCTION("""COMPUTED_VALUE"""),486.0)</f>
        <v>486</v>
      </c>
      <c r="B122" s="25" t="str">
        <f>IFERROR(__xludf.DUMMYFUNCTION("""COMPUTED_VALUE"""),"MANOLO GONZÁLEZ")</f>
        <v>MANOLO GONZÁLEZ</v>
      </c>
      <c r="C122" s="25" t="str">
        <f>IFERROR(__xludf.DUMMYFUNCTION("""COMPUTED_VALUE"""),"RCD ESPANYOL")</f>
        <v>RCD ESPANYOL</v>
      </c>
    </row>
    <row r="123" ht="15.75" customHeight="1">
      <c r="A123" s="26">
        <f>IFERROR(__xludf.DUMMYFUNCTION("""COMPUTED_VALUE"""),488.0)</f>
        <v>488</v>
      </c>
      <c r="B123" s="25" t="str">
        <f>IFERROR(__xludf.DUMMYFUNCTION("""COMPUTED_VALUE"""),"MICHEL")</f>
        <v>MICHEL</v>
      </c>
      <c r="C123" s="25" t="str">
        <f>IFERROR(__xludf.DUMMYFUNCTION("""COMPUTED_VALUE"""),"GIRONA FC")</f>
        <v>GIRONA FC</v>
      </c>
    </row>
    <row r="124" ht="15.75" customHeight="1">
      <c r="A124" s="26">
        <f>IFERROR(__xludf.DUMMYFUNCTION("""COMPUTED_VALUE"""),492.0)</f>
        <v>492</v>
      </c>
      <c r="B124" s="25" t="str">
        <f>IFERROR(__xludf.DUMMYFUNCTION("""COMPUTED_VALUE"""),"ALESSIO LISCI")</f>
        <v>ALESSIO LISCI</v>
      </c>
      <c r="C124" s="25" t="str">
        <f>IFERROR(__xludf.DUMMYFUNCTION("""COMPUTED_VALUE"""),"CA OSASUNA")</f>
        <v>CA OSASUNA</v>
      </c>
    </row>
    <row r="125" ht="15.75" customHeight="1">
      <c r="A125" s="26">
        <f>IFERROR(__xludf.DUMMYFUNCTION("""COMPUTED_VALUE"""),493.0)</f>
        <v>493</v>
      </c>
      <c r="B125" s="25" t="str">
        <f>IFERROR(__xludf.DUMMYFUNCTION("""COMPUTED_VALUE"""),"GUILLERMO ALMADA")</f>
        <v>GUILLERMO ALMADA</v>
      </c>
      <c r="C125" s="25" t="str">
        <f>IFERROR(__xludf.DUMMYFUNCTION("""COMPUTED_VALUE"""),"REAL OVIEDO")</f>
        <v>REAL OVIEDO</v>
      </c>
    </row>
    <row r="126" ht="15.75" customHeight="1">
      <c r="A126" s="26">
        <f>IFERROR(__xludf.DUMMYFUNCTION("""COMPUTED_VALUE"""),495.0)</f>
        <v>495</v>
      </c>
      <c r="B126" s="25" t="str">
        <f>IFERROR(__xludf.DUMMYFUNCTION("""COMPUTED_VALUE"""),"PELLEGRINO MATARAZZO")</f>
        <v>PELLEGRINO MATARAZZO</v>
      </c>
      <c r="C126" s="25" t="str">
        <f>IFERROR(__xludf.DUMMYFUNCTION("""COMPUTED_VALUE"""),"REAL SOCIEDAD")</f>
        <v>REAL SOCIEDAD</v>
      </c>
    </row>
    <row r="127" ht="15.75" customHeight="1">
      <c r="A127" s="26">
        <f>IFERROR(__xludf.DUMMYFUNCTION("""COMPUTED_VALUE"""),496.0)</f>
        <v>496</v>
      </c>
      <c r="B127" s="25" t="str">
        <f>IFERROR(__xludf.DUMMYFUNCTION("""COMPUTED_VALUE"""),"MATÍAS ALMEYDA")</f>
        <v>MATÍAS ALMEYDA</v>
      </c>
      <c r="C127" s="25" t="str">
        <f>IFERROR(__xludf.DUMMYFUNCTION("""COMPUTED_VALUE"""),"SEVILLA FC")</f>
        <v>SEVILLA FC</v>
      </c>
    </row>
    <row r="128" ht="15.75" customHeight="1">
      <c r="A128" s="26">
        <f>IFERROR(__xludf.DUMMYFUNCTION("""COMPUTED_VALUE"""),497.0)</f>
        <v>497</v>
      </c>
      <c r="B128" s="25" t="str">
        <f>IFERROR(__xludf.DUMMYFUNCTION("""COMPUTED_VALUE"""),"CARLOS CORBERÁN")</f>
        <v>CARLOS CORBERÁN</v>
      </c>
      <c r="C128" s="25" t="str">
        <f>IFERROR(__xludf.DUMMYFUNCTION("""COMPUTED_VALUE"""),"VALENCIA CF")</f>
        <v>VALENCIA CF</v>
      </c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>
      <c r="A221" s="26"/>
    </row>
    <row r="222" ht="15.75" customHeight="1">
      <c r="A222" s="26"/>
    </row>
    <row r="223" ht="15.75" customHeight="1">
      <c r="A223" s="26"/>
    </row>
    <row r="224" ht="15.75" customHeight="1">
      <c r="A224" s="26"/>
    </row>
    <row r="225" ht="15.75" customHeight="1">
      <c r="A225" s="26"/>
    </row>
    <row r="226" ht="15.75" customHeight="1">
      <c r="A226" s="26"/>
    </row>
    <row r="227" ht="15.75" customHeight="1">
      <c r="A227" s="26"/>
    </row>
    <row r="228" ht="15.75" customHeight="1">
      <c r="A228" s="26"/>
    </row>
    <row r="229" ht="15.75" customHeight="1">
      <c r="A229" s="26"/>
    </row>
    <row r="230" ht="15.75" customHeight="1">
      <c r="A230" s="26"/>
    </row>
    <row r="231" ht="15.75" customHeight="1">
      <c r="A231" s="26"/>
    </row>
    <row r="232" ht="15.75" customHeight="1">
      <c r="A232" s="26"/>
    </row>
    <row r="233" ht="15.75" customHeight="1">
      <c r="A233" s="26"/>
    </row>
    <row r="234" ht="15.75" customHeight="1">
      <c r="A234" s="26"/>
    </row>
    <row r="235" ht="15.75" customHeight="1">
      <c r="A235" s="26"/>
    </row>
    <row r="236" ht="15.75" customHeight="1">
      <c r="A236" s="26"/>
    </row>
    <row r="237" ht="15.75" customHeight="1">
      <c r="A237" s="26"/>
    </row>
    <row r="238" ht="15.75" customHeight="1">
      <c r="A238" s="26"/>
    </row>
    <row r="239" ht="15.75" customHeight="1">
      <c r="A239" s="26"/>
    </row>
    <row r="240" ht="15.75" customHeight="1">
      <c r="A240" s="26"/>
    </row>
    <row r="241" ht="15.75" customHeight="1">
      <c r="A241" s="26"/>
    </row>
    <row r="242" ht="15.75" customHeight="1">
      <c r="A242" s="26"/>
    </row>
    <row r="243" ht="15.75" customHeight="1">
      <c r="A243" s="26"/>
    </row>
    <row r="244" ht="15.75" customHeight="1">
      <c r="A244" s="26"/>
    </row>
    <row r="245" ht="15.75" customHeight="1">
      <c r="A245" s="26"/>
    </row>
    <row r="246" ht="15.75" customHeight="1">
      <c r="A246" s="26"/>
    </row>
    <row r="247" ht="15.75" customHeight="1">
      <c r="A247" s="26"/>
    </row>
    <row r="248" ht="15.75" customHeight="1">
      <c r="A248" s="26"/>
    </row>
    <row r="249" ht="15.75" customHeight="1">
      <c r="A249" s="26"/>
    </row>
    <row r="250" ht="15.75" customHeight="1">
      <c r="A250" s="26"/>
    </row>
    <row r="251" ht="15.75" customHeight="1">
      <c r="A251" s="26"/>
    </row>
    <row r="252" ht="15.75" customHeight="1">
      <c r="A252" s="26"/>
    </row>
    <row r="253" ht="15.75" customHeight="1">
      <c r="A253" s="26"/>
    </row>
    <row r="254" ht="15.75" customHeight="1">
      <c r="A254" s="26"/>
    </row>
    <row r="255" ht="15.75" customHeight="1">
      <c r="A255" s="26"/>
    </row>
    <row r="256" ht="15.75" customHeight="1">
      <c r="A256" s="26"/>
    </row>
    <row r="257" ht="15.75" customHeight="1">
      <c r="A257" s="26"/>
    </row>
    <row r="258" ht="15.75" customHeight="1">
      <c r="A258" s="26"/>
    </row>
    <row r="259" ht="15.75" customHeight="1">
      <c r="A259" s="26"/>
    </row>
    <row r="260" ht="15.75" customHeight="1">
      <c r="A260" s="26"/>
    </row>
    <row r="261" ht="15.75" customHeight="1">
      <c r="A261" s="26"/>
    </row>
    <row r="262" ht="15.75" customHeight="1">
      <c r="A262" s="26"/>
    </row>
    <row r="263" ht="15.75" customHeight="1">
      <c r="A263" s="26"/>
    </row>
    <row r="264" ht="15.75" customHeight="1">
      <c r="A264" s="26"/>
    </row>
    <row r="265" ht="15.75" customHeight="1">
      <c r="A265" s="26"/>
    </row>
    <row r="266" ht="15.75" customHeight="1">
      <c r="A266" s="26"/>
    </row>
    <row r="267" ht="15.75" customHeight="1">
      <c r="A267" s="26"/>
    </row>
    <row r="268" ht="15.75" customHeight="1">
      <c r="A268" s="26"/>
    </row>
    <row r="269" ht="15.75" customHeight="1">
      <c r="A269" s="26"/>
    </row>
    <row r="270" ht="15.75" customHeight="1">
      <c r="A270" s="26"/>
    </row>
    <row r="271" ht="15.75" customHeight="1">
      <c r="A271" s="26"/>
    </row>
    <row r="272" ht="15.75" customHeight="1">
      <c r="A272" s="26"/>
    </row>
    <row r="273" ht="15.75" customHeight="1">
      <c r="A273" s="26"/>
    </row>
    <row r="274" ht="15.75" customHeight="1">
      <c r="A274" s="26"/>
    </row>
    <row r="275" ht="15.75" customHeight="1">
      <c r="A275" s="26"/>
    </row>
    <row r="276" ht="15.75" customHeight="1">
      <c r="A276" s="26"/>
    </row>
    <row r="277" ht="15.75" customHeight="1">
      <c r="A277" s="26"/>
    </row>
    <row r="278" ht="15.75" customHeight="1">
      <c r="A278" s="26"/>
    </row>
    <row r="279" ht="15.75" customHeight="1">
      <c r="A279" s="26"/>
    </row>
    <row r="280" ht="15.75" customHeight="1">
      <c r="A280" s="26"/>
    </row>
    <row r="281" ht="15.75" customHeight="1">
      <c r="A281" s="26"/>
    </row>
    <row r="282" ht="15.75" customHeight="1">
      <c r="A282" s="26"/>
    </row>
    <row r="283" ht="15.75" customHeight="1">
      <c r="A283" s="26"/>
    </row>
    <row r="284" ht="15.75" customHeight="1">
      <c r="A284" s="26"/>
    </row>
    <row r="285" ht="15.75" customHeight="1">
      <c r="A285" s="26"/>
    </row>
    <row r="286" ht="15.75" customHeight="1">
      <c r="A286" s="26"/>
    </row>
    <row r="287" ht="15.75" customHeight="1">
      <c r="A287" s="26"/>
    </row>
    <row r="288" ht="15.75" customHeight="1">
      <c r="A288" s="26"/>
    </row>
    <row r="289" ht="15.75" customHeight="1">
      <c r="A289" s="26"/>
    </row>
    <row r="290" ht="15.75" customHeight="1">
      <c r="A290" s="26"/>
    </row>
    <row r="291" ht="15.75" customHeight="1">
      <c r="A291" s="26"/>
    </row>
    <row r="292" ht="15.75" customHeight="1">
      <c r="A292" s="26"/>
    </row>
    <row r="293" ht="15.75" customHeight="1">
      <c r="A293" s="26"/>
    </row>
    <row r="294" ht="15.75" customHeight="1">
      <c r="A294" s="26"/>
    </row>
    <row r="295" ht="15.75" customHeight="1">
      <c r="A295" s="26"/>
    </row>
    <row r="296" ht="15.75" customHeight="1">
      <c r="A296" s="26"/>
    </row>
    <row r="297" ht="15.75" customHeight="1">
      <c r="A297" s="26"/>
    </row>
    <row r="298" ht="15.75" customHeight="1">
      <c r="A298" s="26"/>
    </row>
    <row r="299" ht="15.75" customHeight="1">
      <c r="A299" s="26"/>
    </row>
    <row r="300" ht="15.75" customHeight="1">
      <c r="A300" s="26"/>
    </row>
    <row r="301" ht="15.75" customHeight="1">
      <c r="A301" s="26"/>
    </row>
    <row r="302" ht="15.75" customHeight="1">
      <c r="A302" s="26"/>
    </row>
    <row r="303" ht="15.75" customHeight="1">
      <c r="A303" s="26"/>
    </row>
    <row r="304" ht="15.75" customHeight="1">
      <c r="A304" s="26"/>
    </row>
    <row r="305" ht="15.75" customHeight="1">
      <c r="A305" s="26"/>
    </row>
    <row r="306" ht="15.75" customHeight="1">
      <c r="A306" s="26"/>
    </row>
    <row r="307" ht="15.75" customHeight="1">
      <c r="A307" s="26"/>
    </row>
    <row r="308" ht="15.75" customHeight="1">
      <c r="A308" s="26"/>
    </row>
    <row r="309" ht="15.75" customHeight="1">
      <c r="A309" s="26"/>
    </row>
    <row r="310" ht="15.75" customHeight="1">
      <c r="A310" s="26"/>
    </row>
    <row r="311" ht="15.75" customHeight="1">
      <c r="A311" s="26"/>
    </row>
    <row r="312" ht="15.75" customHeight="1">
      <c r="A312" s="26"/>
    </row>
    <row r="313" ht="15.75" customHeight="1">
      <c r="A313" s="26"/>
    </row>
    <row r="314" ht="15.75" customHeight="1">
      <c r="A314" s="26"/>
    </row>
    <row r="315" ht="15.75" customHeight="1">
      <c r="A315" s="26"/>
    </row>
    <row r="316" ht="15.75" customHeight="1">
      <c r="A316" s="26"/>
    </row>
    <row r="317" ht="15.75" customHeight="1">
      <c r="A317" s="26"/>
    </row>
    <row r="318" ht="15.75" customHeight="1">
      <c r="A318" s="26"/>
    </row>
    <row r="319" ht="15.75" customHeight="1">
      <c r="A319" s="26"/>
    </row>
    <row r="320" ht="15.75" customHeight="1">
      <c r="A320" s="26"/>
    </row>
    <row r="321" ht="15.75" customHeight="1">
      <c r="A321" s="26"/>
    </row>
    <row r="322" ht="15.75" customHeight="1">
      <c r="A322" s="26"/>
    </row>
    <row r="323" ht="15.75" customHeight="1">
      <c r="A323" s="26"/>
    </row>
    <row r="324" ht="15.75" customHeight="1">
      <c r="A324" s="26"/>
    </row>
    <row r="325" ht="15.75" customHeight="1">
      <c r="A325" s="26"/>
    </row>
    <row r="326" ht="15.75" customHeight="1">
      <c r="A326" s="26"/>
    </row>
    <row r="327" ht="15.75" customHeight="1">
      <c r="A327" s="26"/>
    </row>
    <row r="328" ht="15.75" customHeight="1">
      <c r="A328" s="26"/>
    </row>
    <row r="329" ht="15.75" customHeight="1">
      <c r="A329" s="26"/>
    </row>
    <row r="330" ht="15.75" customHeight="1">
      <c r="A330" s="26"/>
    </row>
    <row r="331" ht="15.75" customHeight="1">
      <c r="A331" s="26"/>
    </row>
    <row r="332" ht="15.75" customHeight="1">
      <c r="A332" s="26"/>
    </row>
    <row r="333" ht="15.75" customHeight="1">
      <c r="A333" s="26"/>
    </row>
    <row r="334" ht="15.75" customHeight="1">
      <c r="A334" s="26"/>
    </row>
    <row r="335" ht="15.75" customHeight="1">
      <c r="A335" s="26"/>
    </row>
    <row r="336" ht="15.75" customHeight="1">
      <c r="A336" s="26"/>
    </row>
    <row r="337" ht="15.75" customHeight="1">
      <c r="A337" s="26"/>
    </row>
    <row r="338" ht="15.75" customHeight="1">
      <c r="A338" s="26"/>
    </row>
    <row r="339" ht="15.75" customHeight="1">
      <c r="A339" s="26"/>
    </row>
    <row r="340" ht="15.75" customHeight="1">
      <c r="A340" s="26"/>
    </row>
    <row r="341" ht="15.75" customHeight="1">
      <c r="A341" s="26"/>
    </row>
    <row r="342" ht="15.75" customHeight="1">
      <c r="A342" s="26"/>
    </row>
    <row r="343" ht="15.75" customHeight="1">
      <c r="A343" s="26"/>
    </row>
    <row r="344" ht="15.75" customHeight="1">
      <c r="A344" s="26"/>
    </row>
    <row r="345" ht="15.75" customHeight="1">
      <c r="A345" s="26"/>
    </row>
    <row r="346" ht="15.75" customHeight="1">
      <c r="A346" s="26"/>
    </row>
    <row r="347" ht="15.75" customHeight="1">
      <c r="A347" s="26"/>
    </row>
    <row r="348" ht="15.75" customHeight="1">
      <c r="A348" s="26"/>
    </row>
    <row r="349" ht="15.75" customHeight="1">
      <c r="A349" s="26"/>
    </row>
    <row r="350" ht="15.75" customHeight="1">
      <c r="A350" s="26"/>
    </row>
    <row r="351" ht="15.75" customHeight="1">
      <c r="A351" s="26"/>
    </row>
    <row r="352" ht="15.75" customHeight="1">
      <c r="A352" s="26"/>
    </row>
    <row r="353" ht="15.75" customHeight="1">
      <c r="A353" s="26"/>
    </row>
    <row r="354" ht="15.75" customHeight="1">
      <c r="A354" s="26"/>
    </row>
    <row r="355" ht="15.75" customHeight="1">
      <c r="A355" s="26"/>
    </row>
    <row r="356" ht="15.75" customHeight="1">
      <c r="A356" s="26"/>
    </row>
    <row r="357" ht="15.75" customHeight="1">
      <c r="A357" s="26"/>
    </row>
    <row r="358" ht="15.75" customHeight="1">
      <c r="A358" s="26"/>
    </row>
    <row r="359" ht="15.75" customHeight="1">
      <c r="A359" s="26"/>
    </row>
    <row r="360" ht="15.75" customHeight="1">
      <c r="A360" s="26"/>
    </row>
    <row r="361" ht="15.75" customHeight="1">
      <c r="A361" s="26"/>
    </row>
    <row r="362" ht="15.75" customHeight="1">
      <c r="A362" s="26"/>
    </row>
    <row r="363" ht="15.75" customHeight="1">
      <c r="A363" s="26"/>
    </row>
    <row r="364" ht="15.75" customHeight="1">
      <c r="A364" s="26"/>
    </row>
    <row r="365" ht="15.75" customHeight="1">
      <c r="A365" s="26"/>
    </row>
    <row r="366" ht="15.75" customHeight="1">
      <c r="A366" s="26"/>
    </row>
    <row r="367" ht="15.75" customHeight="1">
      <c r="A367" s="26"/>
    </row>
    <row r="368" ht="15.75" customHeight="1">
      <c r="A368" s="26"/>
    </row>
    <row r="369" ht="15.75" customHeight="1">
      <c r="A369" s="26"/>
    </row>
    <row r="370" ht="15.75" customHeight="1">
      <c r="A370" s="26"/>
    </row>
    <row r="371" ht="15.75" customHeight="1">
      <c r="A371" s="26"/>
    </row>
    <row r="372" ht="15.75" customHeight="1">
      <c r="A372" s="26"/>
    </row>
    <row r="373" ht="15.75" customHeight="1">
      <c r="A373" s="26"/>
    </row>
    <row r="374" ht="15.75" customHeight="1">
      <c r="A374" s="26"/>
    </row>
    <row r="375" ht="15.75" customHeight="1">
      <c r="A375" s="26"/>
    </row>
    <row r="376" ht="15.75" customHeight="1">
      <c r="A376" s="26"/>
    </row>
    <row r="377" ht="15.75" customHeight="1">
      <c r="A377" s="26"/>
    </row>
    <row r="378" ht="15.75" customHeight="1">
      <c r="A378" s="26"/>
    </row>
    <row r="379" ht="15.75" customHeight="1">
      <c r="A379" s="26"/>
    </row>
    <row r="380" ht="15.75" customHeight="1">
      <c r="A380" s="26"/>
    </row>
    <row r="381" ht="15.75" customHeight="1">
      <c r="A381" s="26"/>
    </row>
    <row r="382" ht="15.75" customHeight="1">
      <c r="A382" s="26"/>
    </row>
    <row r="383" ht="15.75" customHeight="1">
      <c r="A383" s="26"/>
    </row>
    <row r="384" ht="15.75" customHeight="1">
      <c r="A384" s="26"/>
    </row>
    <row r="385" ht="15.75" customHeight="1">
      <c r="A385" s="26"/>
    </row>
    <row r="386" ht="15.75" customHeight="1">
      <c r="A386" s="26"/>
    </row>
    <row r="387" ht="15.75" customHeight="1">
      <c r="A387" s="26"/>
    </row>
    <row r="388" ht="15.75" customHeight="1">
      <c r="A388" s="26"/>
    </row>
    <row r="389" ht="15.75" customHeight="1">
      <c r="A389" s="26"/>
    </row>
    <row r="390" ht="15.75" customHeight="1">
      <c r="A390" s="26"/>
    </row>
    <row r="391" ht="15.75" customHeight="1">
      <c r="A391" s="26"/>
    </row>
    <row r="392" ht="15.75" customHeight="1">
      <c r="A392" s="26"/>
    </row>
    <row r="393" ht="15.75" customHeight="1">
      <c r="A393" s="26"/>
    </row>
    <row r="394" ht="15.75" customHeight="1">
      <c r="A394" s="26"/>
    </row>
    <row r="395" ht="15.75" customHeight="1">
      <c r="A395" s="26"/>
    </row>
    <row r="396" ht="15.75" customHeight="1">
      <c r="A396" s="26"/>
    </row>
    <row r="397" ht="15.75" customHeight="1">
      <c r="A397" s="26"/>
    </row>
    <row r="398" ht="15.75" customHeight="1">
      <c r="A398" s="26"/>
    </row>
    <row r="399" ht="15.75" customHeight="1">
      <c r="A399" s="26"/>
    </row>
    <row r="400" ht="15.75" customHeight="1">
      <c r="A400" s="26"/>
    </row>
    <row r="401" ht="15.75" customHeight="1">
      <c r="A401" s="26"/>
    </row>
    <row r="402" ht="15.75" customHeight="1">
      <c r="A402" s="26"/>
    </row>
    <row r="403" ht="15.75" customHeight="1">
      <c r="A403" s="26"/>
    </row>
    <row r="404" ht="15.75" customHeight="1">
      <c r="A404" s="26"/>
    </row>
    <row r="405" ht="15.75" customHeight="1">
      <c r="A405" s="26"/>
    </row>
    <row r="406" ht="15.75" customHeight="1">
      <c r="A406" s="26"/>
    </row>
    <row r="407" ht="15.75" customHeight="1">
      <c r="A407" s="26"/>
    </row>
    <row r="408" ht="15.75" customHeight="1">
      <c r="A408" s="26"/>
    </row>
    <row r="409" ht="15.75" customHeight="1">
      <c r="A409" s="26"/>
    </row>
    <row r="410" ht="15.75" customHeight="1">
      <c r="A410" s="26"/>
    </row>
    <row r="411" ht="15.75" customHeight="1">
      <c r="A411" s="26"/>
    </row>
    <row r="412" ht="15.75" customHeight="1">
      <c r="A412" s="26"/>
    </row>
    <row r="413" ht="15.75" customHeight="1">
      <c r="A413" s="26"/>
    </row>
    <row r="414" ht="15.75" customHeight="1">
      <c r="A414" s="26"/>
    </row>
    <row r="415" ht="15.75" customHeight="1">
      <c r="A415" s="26"/>
    </row>
    <row r="416" ht="15.75" customHeight="1">
      <c r="A416" s="26"/>
    </row>
    <row r="417" ht="15.75" customHeight="1">
      <c r="A417" s="26"/>
    </row>
    <row r="418" ht="15.75" customHeight="1">
      <c r="A418" s="26"/>
    </row>
    <row r="419" ht="15.75" customHeight="1">
      <c r="A419" s="26"/>
    </row>
    <row r="420" ht="15.75" customHeight="1">
      <c r="A420" s="26"/>
    </row>
    <row r="421" ht="15.75" customHeight="1">
      <c r="A421" s="26"/>
    </row>
    <row r="422" ht="15.75" customHeight="1">
      <c r="A422" s="26"/>
    </row>
    <row r="423" ht="15.75" customHeight="1">
      <c r="A423" s="26"/>
    </row>
    <row r="424" ht="15.75" customHeight="1">
      <c r="A424" s="26"/>
    </row>
    <row r="425" ht="15.75" customHeight="1">
      <c r="A425" s="26"/>
    </row>
    <row r="426" ht="15.75" customHeight="1">
      <c r="A426" s="26"/>
    </row>
    <row r="427" ht="15.75" customHeight="1">
      <c r="A427" s="26"/>
    </row>
    <row r="428" ht="15.75" customHeight="1">
      <c r="A428" s="26"/>
    </row>
    <row r="429" ht="15.75" customHeight="1">
      <c r="A429" s="26"/>
    </row>
    <row r="430" ht="15.75" customHeight="1">
      <c r="A430" s="26"/>
    </row>
    <row r="431" ht="15.75" customHeight="1">
      <c r="A431" s="26"/>
    </row>
    <row r="432" ht="15.75" customHeight="1">
      <c r="A432" s="26"/>
    </row>
    <row r="433" ht="15.75" customHeight="1">
      <c r="A433" s="26"/>
    </row>
    <row r="434" ht="15.75" customHeight="1">
      <c r="A434" s="26"/>
    </row>
    <row r="435" ht="15.75" customHeight="1">
      <c r="A435" s="26"/>
    </row>
    <row r="436" ht="15.75" customHeight="1">
      <c r="A436" s="26"/>
    </row>
    <row r="437" ht="15.75" customHeight="1">
      <c r="A437" s="26"/>
    </row>
    <row r="438" ht="15.75" customHeight="1">
      <c r="A438" s="26"/>
    </row>
    <row r="439" ht="15.75" customHeight="1">
      <c r="A439" s="26"/>
    </row>
    <row r="440" ht="15.75" customHeight="1">
      <c r="A440" s="26"/>
    </row>
    <row r="441" ht="15.75" customHeight="1">
      <c r="A441" s="26"/>
    </row>
    <row r="442" ht="15.75" customHeight="1">
      <c r="A442" s="26"/>
    </row>
    <row r="443" ht="15.75" customHeight="1">
      <c r="A443" s="26"/>
    </row>
    <row r="444" ht="15.75" customHeight="1">
      <c r="A444" s="26"/>
    </row>
    <row r="445" ht="15.75" customHeight="1">
      <c r="A445" s="26"/>
    </row>
    <row r="446" ht="15.75" customHeight="1">
      <c r="A446" s="26"/>
    </row>
    <row r="447" ht="15.75" customHeight="1">
      <c r="A447" s="26"/>
    </row>
    <row r="448" ht="15.75" customHeight="1">
      <c r="A448" s="26"/>
    </row>
    <row r="449" ht="15.75" customHeight="1">
      <c r="A449" s="26"/>
    </row>
    <row r="450" ht="15.75" customHeight="1">
      <c r="A450" s="26"/>
    </row>
    <row r="451" ht="15.75" customHeight="1">
      <c r="A451" s="26"/>
    </row>
    <row r="452" ht="15.75" customHeight="1">
      <c r="A452" s="26"/>
    </row>
    <row r="453" ht="15.75" customHeight="1">
      <c r="A453" s="26"/>
    </row>
    <row r="454" ht="15.75" customHeight="1">
      <c r="A454" s="26"/>
    </row>
    <row r="455" ht="15.75" customHeight="1">
      <c r="A455" s="26"/>
    </row>
    <row r="456" ht="15.75" customHeight="1">
      <c r="A456" s="26"/>
    </row>
    <row r="457" ht="15.75" customHeight="1">
      <c r="A457" s="26"/>
    </row>
    <row r="458" ht="15.75" customHeight="1">
      <c r="A458" s="26"/>
    </row>
    <row r="459" ht="15.75" customHeight="1">
      <c r="A459" s="26"/>
    </row>
    <row r="460" ht="15.75" customHeight="1">
      <c r="A460" s="26"/>
    </row>
    <row r="461" ht="15.75" customHeight="1">
      <c r="A461" s="26"/>
    </row>
    <row r="462" ht="15.75" customHeight="1">
      <c r="A462" s="26"/>
    </row>
    <row r="463" ht="15.75" customHeight="1">
      <c r="A463" s="26"/>
    </row>
    <row r="464" ht="15.75" customHeight="1">
      <c r="A464" s="26"/>
    </row>
    <row r="465" ht="15.75" customHeight="1">
      <c r="A465" s="26"/>
    </row>
    <row r="466" ht="15.75" customHeight="1">
      <c r="A466" s="26"/>
    </row>
    <row r="467" ht="15.75" customHeight="1">
      <c r="A467" s="26"/>
    </row>
    <row r="468" ht="15.75" customHeight="1">
      <c r="A468" s="26"/>
    </row>
    <row r="469" ht="15.75" customHeight="1">
      <c r="A469" s="26"/>
    </row>
    <row r="470" ht="15.75" customHeight="1">
      <c r="A470" s="26"/>
    </row>
    <row r="471" ht="15.75" customHeight="1">
      <c r="A471" s="26"/>
    </row>
    <row r="472" ht="15.75" customHeight="1">
      <c r="A472" s="26"/>
    </row>
    <row r="473" ht="15.75" customHeight="1">
      <c r="A473" s="26"/>
    </row>
    <row r="474" ht="15.75" customHeight="1">
      <c r="A474" s="26"/>
    </row>
    <row r="475" ht="15.75" customHeight="1">
      <c r="A475" s="26"/>
    </row>
    <row r="476" ht="15.75" customHeight="1">
      <c r="A476" s="26"/>
    </row>
    <row r="477" ht="15.75" customHeight="1">
      <c r="A477" s="26"/>
    </row>
    <row r="478" ht="15.75" customHeight="1">
      <c r="A478" s="26"/>
    </row>
    <row r="479" ht="15.75" customHeight="1">
      <c r="A479" s="26"/>
    </row>
    <row r="480" ht="15.75" customHeight="1">
      <c r="A480" s="26"/>
    </row>
    <row r="481" ht="15.75" customHeight="1">
      <c r="A481" s="26"/>
    </row>
    <row r="482" ht="15.75" customHeight="1">
      <c r="A482" s="26"/>
    </row>
    <row r="483" ht="15.75" customHeight="1">
      <c r="A483" s="26"/>
    </row>
    <row r="484" ht="15.75" customHeight="1">
      <c r="A484" s="26"/>
    </row>
    <row r="485" ht="15.75" customHeight="1">
      <c r="A485" s="26"/>
    </row>
    <row r="486" ht="15.75" customHeight="1">
      <c r="A486" s="26"/>
    </row>
    <row r="487" ht="15.75" customHeight="1">
      <c r="A487" s="26"/>
    </row>
    <row r="488" ht="15.75" customHeight="1">
      <c r="A488" s="26"/>
    </row>
    <row r="489" ht="15.75" customHeight="1">
      <c r="A489" s="26"/>
    </row>
    <row r="490" ht="15.75" customHeight="1">
      <c r="A490" s="26"/>
    </row>
    <row r="491" ht="15.75" customHeight="1">
      <c r="A491" s="26"/>
    </row>
    <row r="492" ht="15.75" customHeight="1">
      <c r="A492" s="26"/>
    </row>
    <row r="493" ht="15.75" customHeight="1">
      <c r="A493" s="26"/>
    </row>
    <row r="494" ht="15.75" customHeight="1">
      <c r="A494" s="26"/>
    </row>
    <row r="495" ht="15.75" customHeight="1">
      <c r="A495" s="26"/>
    </row>
    <row r="496" ht="15.75" customHeight="1">
      <c r="A496" s="26"/>
    </row>
    <row r="497" ht="15.75" customHeight="1">
      <c r="A497" s="26"/>
    </row>
    <row r="498" ht="15.75" customHeight="1">
      <c r="A498" s="26"/>
    </row>
    <row r="499" ht="15.75" customHeight="1">
      <c r="A499" s="26"/>
    </row>
    <row r="500" ht="15.75" customHeight="1">
      <c r="A500" s="26"/>
    </row>
    <row r="501" ht="15.75" customHeight="1">
      <c r="A501" s="26"/>
    </row>
    <row r="502" ht="15.75" customHeight="1">
      <c r="A502" s="26"/>
    </row>
    <row r="503" ht="15.75" customHeight="1">
      <c r="A503" s="26"/>
    </row>
    <row r="504" ht="15.75" customHeight="1">
      <c r="A504" s="26"/>
    </row>
    <row r="505" ht="15.75" customHeight="1">
      <c r="A505" s="26"/>
    </row>
    <row r="506" ht="15.75" customHeight="1">
      <c r="A506" s="26"/>
    </row>
    <row r="507" ht="15.75" customHeight="1">
      <c r="A507" s="26"/>
    </row>
    <row r="508" ht="15.75" customHeight="1">
      <c r="A508" s="26"/>
    </row>
    <row r="509" ht="15.75" customHeight="1">
      <c r="A509" s="26"/>
    </row>
    <row r="510" ht="15.75" customHeight="1">
      <c r="A510" s="26"/>
    </row>
    <row r="511" ht="15.75" customHeight="1">
      <c r="A511" s="26"/>
    </row>
    <row r="512" ht="15.75" customHeight="1">
      <c r="A512" s="26"/>
    </row>
    <row r="513" ht="15.75" customHeight="1">
      <c r="A513" s="26"/>
    </row>
    <row r="514" ht="15.75" customHeight="1">
      <c r="A514" s="26"/>
    </row>
    <row r="515" ht="15.75" customHeight="1">
      <c r="A515" s="26"/>
    </row>
    <row r="516" ht="15.75" customHeight="1">
      <c r="A516" s="26"/>
    </row>
    <row r="517" ht="15.75" customHeight="1">
      <c r="A517" s="26"/>
    </row>
    <row r="518" ht="15.75" customHeight="1">
      <c r="A518" s="26"/>
    </row>
    <row r="519" ht="15.75" customHeight="1">
      <c r="A519" s="26"/>
    </row>
    <row r="520" ht="15.75" customHeight="1">
      <c r="A520" s="26"/>
    </row>
    <row r="521" ht="15.75" customHeight="1">
      <c r="A521" s="26"/>
    </row>
    <row r="522" ht="15.75" customHeight="1">
      <c r="A522" s="26"/>
    </row>
    <row r="523" ht="15.75" customHeight="1">
      <c r="A523" s="26"/>
    </row>
    <row r="524" ht="15.75" customHeight="1">
      <c r="A524" s="26"/>
    </row>
    <row r="525" ht="15.75" customHeight="1">
      <c r="A525" s="26"/>
    </row>
    <row r="526" ht="15.75" customHeight="1">
      <c r="A526" s="26"/>
    </row>
    <row r="527" ht="15.75" customHeight="1">
      <c r="A527" s="26"/>
    </row>
    <row r="528" ht="15.75" customHeight="1">
      <c r="A528" s="26"/>
    </row>
    <row r="529" ht="15.75" customHeight="1">
      <c r="A529" s="26"/>
    </row>
    <row r="530" ht="15.75" customHeight="1">
      <c r="A530" s="26"/>
    </row>
    <row r="531" ht="15.75" customHeight="1">
      <c r="A531" s="26"/>
    </row>
    <row r="532" ht="15.75" customHeight="1">
      <c r="A532" s="26"/>
    </row>
    <row r="533" ht="15.75" customHeight="1">
      <c r="A533" s="26"/>
    </row>
    <row r="534" ht="15.75" customHeight="1">
      <c r="A534" s="26"/>
    </row>
    <row r="535" ht="15.75" customHeight="1">
      <c r="A535" s="26"/>
    </row>
    <row r="536" ht="15.75" customHeight="1">
      <c r="A536" s="26"/>
    </row>
    <row r="537" ht="15.75" customHeight="1">
      <c r="A537" s="26"/>
    </row>
    <row r="538" ht="15.75" customHeight="1">
      <c r="A538" s="26"/>
    </row>
    <row r="539" ht="15.75" customHeight="1">
      <c r="A539" s="26"/>
    </row>
    <row r="540" ht="15.75" customHeight="1">
      <c r="A540" s="26"/>
    </row>
    <row r="541" ht="15.75" customHeight="1">
      <c r="A541" s="26"/>
    </row>
    <row r="542" ht="15.75" customHeight="1">
      <c r="A542" s="26"/>
    </row>
    <row r="543" ht="15.75" customHeight="1">
      <c r="A543" s="26"/>
    </row>
    <row r="544" ht="15.75" customHeight="1">
      <c r="A544" s="26"/>
    </row>
    <row r="545" ht="15.75" customHeight="1">
      <c r="A545" s="26"/>
    </row>
    <row r="546" ht="15.75" customHeight="1">
      <c r="A546" s="26"/>
    </row>
    <row r="547" ht="15.75" customHeight="1">
      <c r="A547" s="26"/>
    </row>
    <row r="548" ht="15.75" customHeight="1">
      <c r="A548" s="26"/>
    </row>
    <row r="549" ht="15.75" customHeight="1">
      <c r="A549" s="26"/>
    </row>
    <row r="550" ht="15.75" customHeight="1">
      <c r="A550" s="26"/>
    </row>
    <row r="551" ht="15.75" customHeight="1">
      <c r="A551" s="26"/>
    </row>
    <row r="552" ht="15.75" customHeight="1">
      <c r="A552" s="26"/>
    </row>
    <row r="553" ht="15.75" customHeight="1">
      <c r="A553" s="26"/>
    </row>
    <row r="554" ht="15.75" customHeight="1">
      <c r="A554" s="26"/>
    </row>
    <row r="555" ht="15.75" customHeight="1">
      <c r="A555" s="26"/>
    </row>
    <row r="556" ht="15.75" customHeight="1">
      <c r="A556" s="26"/>
    </row>
    <row r="557" ht="15.75" customHeight="1">
      <c r="A557" s="26"/>
    </row>
    <row r="558" ht="15.75" customHeight="1">
      <c r="A558" s="26"/>
    </row>
    <row r="559" ht="15.75" customHeight="1">
      <c r="A559" s="26"/>
    </row>
    <row r="560" ht="15.75" customHeight="1">
      <c r="A560" s="26"/>
    </row>
    <row r="561" ht="15.75" customHeight="1">
      <c r="A561" s="26"/>
    </row>
    <row r="562" ht="15.75" customHeight="1">
      <c r="A562" s="26"/>
    </row>
    <row r="563" ht="15.75" customHeight="1">
      <c r="A563" s="26"/>
    </row>
    <row r="564" ht="15.75" customHeight="1">
      <c r="A564" s="26"/>
    </row>
    <row r="565" ht="15.75" customHeight="1">
      <c r="A565" s="26"/>
    </row>
    <row r="566" ht="15.75" customHeight="1">
      <c r="A566" s="26"/>
    </row>
    <row r="567" ht="15.75" customHeight="1">
      <c r="A567" s="26"/>
    </row>
    <row r="568" ht="15.75" customHeight="1">
      <c r="A568" s="26"/>
    </row>
    <row r="569" ht="15.75" customHeight="1">
      <c r="A569" s="26"/>
    </row>
    <row r="570" ht="15.75" customHeight="1">
      <c r="A570" s="26"/>
    </row>
    <row r="571" ht="15.75" customHeight="1">
      <c r="A571" s="26"/>
    </row>
    <row r="572" ht="15.75" customHeight="1">
      <c r="A572" s="26"/>
    </row>
    <row r="573" ht="15.75" customHeight="1">
      <c r="A573" s="26"/>
    </row>
    <row r="574" ht="15.75" customHeight="1">
      <c r="A574" s="26"/>
    </row>
    <row r="575" ht="15.75" customHeight="1">
      <c r="A575" s="26"/>
    </row>
    <row r="576" ht="15.75" customHeight="1">
      <c r="A576" s="26"/>
    </row>
    <row r="577" ht="15.75" customHeight="1">
      <c r="A577" s="26"/>
    </row>
    <row r="578" ht="15.75" customHeight="1">
      <c r="A578" s="26"/>
    </row>
    <row r="579" ht="15.75" customHeight="1">
      <c r="A579" s="26"/>
    </row>
    <row r="580" ht="15.75" customHeight="1">
      <c r="A580" s="26"/>
    </row>
    <row r="581" ht="15.75" customHeight="1">
      <c r="A581" s="26"/>
    </row>
    <row r="582" ht="15.75" customHeight="1">
      <c r="A582" s="26"/>
    </row>
    <row r="583" ht="15.75" customHeight="1">
      <c r="A583" s="26"/>
    </row>
    <row r="584" ht="15.75" customHeight="1">
      <c r="A584" s="26"/>
    </row>
    <row r="585" ht="15.75" customHeight="1">
      <c r="A585" s="26"/>
    </row>
    <row r="586" ht="15.75" customHeight="1">
      <c r="A586" s="26"/>
    </row>
    <row r="587" ht="15.75" customHeight="1">
      <c r="A587" s="26"/>
    </row>
    <row r="588" ht="15.75" customHeight="1">
      <c r="A588" s="26"/>
    </row>
    <row r="589" ht="15.75" customHeight="1">
      <c r="A589" s="26"/>
    </row>
    <row r="590" ht="15.75" customHeight="1">
      <c r="A590" s="26"/>
    </row>
    <row r="591" ht="15.75" customHeight="1">
      <c r="A591" s="26"/>
    </row>
    <row r="592" ht="15.75" customHeight="1">
      <c r="A592" s="26"/>
    </row>
    <row r="593" ht="15.75" customHeight="1">
      <c r="A593" s="26"/>
    </row>
    <row r="594" ht="15.75" customHeight="1">
      <c r="A594" s="26"/>
    </row>
    <row r="595" ht="15.75" customHeight="1">
      <c r="A595" s="26"/>
    </row>
    <row r="596" ht="15.75" customHeight="1">
      <c r="A596" s="26"/>
    </row>
    <row r="597" ht="15.75" customHeight="1">
      <c r="A597" s="26"/>
    </row>
    <row r="598" ht="15.75" customHeight="1">
      <c r="A598" s="26"/>
    </row>
    <row r="599" ht="15.75" customHeight="1">
      <c r="A599" s="26"/>
    </row>
    <row r="600" ht="15.75" customHeight="1">
      <c r="A600" s="26"/>
    </row>
    <row r="601" ht="15.75" customHeight="1">
      <c r="A601" s="26"/>
    </row>
    <row r="602" ht="15.75" customHeight="1">
      <c r="A602" s="26"/>
    </row>
    <row r="603" ht="15.75" customHeight="1">
      <c r="A603" s="26"/>
    </row>
    <row r="604" ht="15.75" customHeight="1">
      <c r="A604" s="26"/>
    </row>
    <row r="605" ht="15.75" customHeight="1">
      <c r="A605" s="26"/>
    </row>
    <row r="606" ht="15.75" customHeight="1">
      <c r="A606" s="26"/>
    </row>
    <row r="607" ht="15.75" customHeight="1">
      <c r="A607" s="26"/>
    </row>
    <row r="608" ht="15.75" customHeight="1">
      <c r="A608" s="26"/>
    </row>
    <row r="609" ht="15.75" customHeight="1">
      <c r="A609" s="26"/>
    </row>
    <row r="610" ht="15.75" customHeight="1">
      <c r="A610" s="26"/>
    </row>
    <row r="611" ht="15.75" customHeight="1">
      <c r="A611" s="26"/>
    </row>
    <row r="612" ht="15.75" customHeight="1">
      <c r="A612" s="26"/>
    </row>
    <row r="613" ht="15.75" customHeight="1">
      <c r="A613" s="26"/>
    </row>
    <row r="614" ht="15.75" customHeight="1">
      <c r="A614" s="26"/>
    </row>
    <row r="615" ht="15.75" customHeight="1">
      <c r="A615" s="26"/>
    </row>
    <row r="616" ht="15.75" customHeight="1">
      <c r="A616" s="26"/>
    </row>
    <row r="617" ht="15.75" customHeight="1">
      <c r="A617" s="26"/>
    </row>
    <row r="618" ht="15.75" customHeight="1">
      <c r="A618" s="26"/>
    </row>
    <row r="619" ht="15.75" customHeight="1">
      <c r="A619" s="26"/>
    </row>
    <row r="620" ht="15.75" customHeight="1">
      <c r="A620" s="26"/>
    </row>
    <row r="621" ht="15.75" customHeight="1">
      <c r="A621" s="26"/>
    </row>
    <row r="622" ht="15.75" customHeight="1">
      <c r="A622" s="26"/>
    </row>
    <row r="623" ht="15.75" customHeight="1">
      <c r="A623" s="26"/>
    </row>
    <row r="624" ht="15.75" customHeight="1">
      <c r="A624" s="26"/>
    </row>
    <row r="625" ht="15.75" customHeight="1">
      <c r="A625" s="26"/>
    </row>
    <row r="626" ht="15.75" customHeight="1">
      <c r="A626" s="26"/>
    </row>
    <row r="627" ht="15.75" customHeight="1">
      <c r="A627" s="26"/>
    </row>
    <row r="628" ht="15.75" customHeight="1">
      <c r="A628" s="26"/>
    </row>
    <row r="629" ht="15.75" customHeight="1">
      <c r="A629" s="26"/>
    </row>
    <row r="630" ht="15.75" customHeight="1">
      <c r="A630" s="26"/>
    </row>
    <row r="631" ht="15.75" customHeight="1">
      <c r="A631" s="26"/>
    </row>
    <row r="632" ht="15.75" customHeight="1">
      <c r="A632" s="26"/>
    </row>
    <row r="633" ht="15.75" customHeight="1">
      <c r="A633" s="26"/>
    </row>
    <row r="634" ht="15.75" customHeight="1">
      <c r="A634" s="26"/>
    </row>
    <row r="635" ht="15.75" customHeight="1">
      <c r="A635" s="26"/>
    </row>
    <row r="636" ht="15.75" customHeight="1">
      <c r="A636" s="26"/>
    </row>
    <row r="637" ht="15.75" customHeight="1">
      <c r="A637" s="26"/>
    </row>
    <row r="638" ht="15.75" customHeight="1">
      <c r="A638" s="26"/>
    </row>
    <row r="639" ht="15.75" customHeight="1">
      <c r="A639" s="26"/>
    </row>
    <row r="640" ht="15.75" customHeight="1">
      <c r="A640" s="26"/>
    </row>
    <row r="641" ht="15.75" customHeight="1">
      <c r="A641" s="26"/>
    </row>
    <row r="642" ht="15.75" customHeight="1">
      <c r="A642" s="26"/>
    </row>
    <row r="643" ht="15.75" customHeight="1">
      <c r="A643" s="26"/>
    </row>
    <row r="644" ht="15.75" customHeight="1">
      <c r="A644" s="26"/>
    </row>
    <row r="645" ht="15.75" customHeight="1">
      <c r="A645" s="26"/>
    </row>
    <row r="646" ht="15.75" customHeight="1">
      <c r="A646" s="26"/>
    </row>
    <row r="647" ht="15.75" customHeight="1">
      <c r="A647" s="26"/>
    </row>
    <row r="648" ht="15.75" customHeight="1">
      <c r="A648" s="26"/>
    </row>
    <row r="649" ht="15.75" customHeight="1">
      <c r="A649" s="26"/>
    </row>
    <row r="650" ht="15.75" customHeight="1">
      <c r="A650" s="26"/>
    </row>
    <row r="651" ht="15.75" customHeight="1">
      <c r="A651" s="26"/>
    </row>
    <row r="652" ht="15.75" customHeight="1">
      <c r="A652" s="26"/>
    </row>
    <row r="653" ht="15.75" customHeight="1">
      <c r="A653" s="26"/>
    </row>
    <row r="654" ht="15.75" customHeight="1">
      <c r="A654" s="26"/>
    </row>
    <row r="655" ht="15.75" customHeight="1">
      <c r="A655" s="26"/>
    </row>
    <row r="656" ht="15.75" customHeight="1">
      <c r="A656" s="26"/>
    </row>
    <row r="657" ht="15.75" customHeight="1">
      <c r="A657" s="26"/>
    </row>
    <row r="658" ht="15.75" customHeight="1">
      <c r="A658" s="26"/>
    </row>
    <row r="659" ht="15.75" customHeight="1">
      <c r="A659" s="26"/>
    </row>
    <row r="660" ht="15.75" customHeight="1">
      <c r="A660" s="26"/>
    </row>
    <row r="661" ht="15.75" customHeight="1">
      <c r="A661" s="26"/>
    </row>
    <row r="662" ht="15.75" customHeight="1">
      <c r="A662" s="26"/>
    </row>
    <row r="663" ht="15.75" customHeight="1">
      <c r="A663" s="26"/>
    </row>
    <row r="664" ht="15.75" customHeight="1">
      <c r="A664" s="26"/>
    </row>
    <row r="665" ht="15.75" customHeight="1">
      <c r="A665" s="26"/>
    </row>
    <row r="666" ht="15.75" customHeight="1">
      <c r="A666" s="26"/>
    </row>
    <row r="667" ht="15.75" customHeight="1">
      <c r="A667" s="26"/>
    </row>
    <row r="668" ht="15.75" customHeight="1">
      <c r="A668" s="26"/>
    </row>
    <row r="669" ht="15.75" customHeight="1">
      <c r="A669" s="26"/>
    </row>
    <row r="670" ht="15.75" customHeight="1">
      <c r="A670" s="26"/>
    </row>
    <row r="671" ht="15.75" customHeight="1">
      <c r="A671" s="26"/>
    </row>
    <row r="672" ht="15.75" customHeight="1">
      <c r="A672" s="26"/>
    </row>
    <row r="673" ht="15.75" customHeight="1">
      <c r="A673" s="26"/>
    </row>
    <row r="674" ht="15.75" customHeight="1">
      <c r="A674" s="26"/>
    </row>
    <row r="675" ht="15.75" customHeight="1">
      <c r="A675" s="26"/>
    </row>
    <row r="676" ht="15.75" customHeight="1">
      <c r="A676" s="26"/>
    </row>
    <row r="677" ht="15.75" customHeight="1">
      <c r="A677" s="26"/>
    </row>
    <row r="678" ht="15.75" customHeight="1">
      <c r="A678" s="26"/>
    </row>
    <row r="679" ht="15.75" customHeight="1">
      <c r="A679" s="26"/>
    </row>
    <row r="680" ht="15.75" customHeight="1">
      <c r="A680" s="26"/>
    </row>
    <row r="681" ht="15.75" customHeight="1">
      <c r="A681" s="26"/>
    </row>
    <row r="682" ht="15.75" customHeight="1">
      <c r="A682" s="26"/>
    </row>
    <row r="683" ht="15.75" customHeight="1">
      <c r="A683" s="26"/>
    </row>
    <row r="684" ht="15.75" customHeight="1">
      <c r="A684" s="26"/>
    </row>
    <row r="685" ht="15.75" customHeight="1">
      <c r="A685" s="26"/>
    </row>
    <row r="686" ht="15.75" customHeight="1">
      <c r="A686" s="26"/>
    </row>
    <row r="687" ht="15.75" customHeight="1">
      <c r="A687" s="26"/>
    </row>
    <row r="688" ht="15.75" customHeight="1">
      <c r="A688" s="26"/>
    </row>
    <row r="689" ht="15.75" customHeight="1">
      <c r="A689" s="26"/>
    </row>
    <row r="690" ht="15.75" customHeight="1">
      <c r="A690" s="26"/>
    </row>
    <row r="691" ht="15.75" customHeight="1">
      <c r="A691" s="26"/>
    </row>
    <row r="692" ht="15.75" customHeight="1">
      <c r="A692" s="26"/>
    </row>
    <row r="693" ht="15.75" customHeight="1">
      <c r="A693" s="26"/>
    </row>
    <row r="694" ht="15.75" customHeight="1">
      <c r="A694" s="26"/>
    </row>
    <row r="695" ht="15.75" customHeight="1">
      <c r="A695" s="26"/>
    </row>
    <row r="696" ht="15.75" customHeight="1">
      <c r="A696" s="26"/>
    </row>
    <row r="697" ht="15.75" customHeight="1">
      <c r="A697" s="26"/>
    </row>
    <row r="698" ht="15.75" customHeight="1">
      <c r="A698" s="26"/>
    </row>
    <row r="699" ht="15.75" customHeight="1">
      <c r="A699" s="26"/>
    </row>
    <row r="700" ht="15.75" customHeight="1">
      <c r="A700" s="26"/>
    </row>
    <row r="701" ht="15.75" customHeight="1">
      <c r="A701" s="26"/>
    </row>
    <row r="702" ht="15.75" customHeight="1">
      <c r="A702" s="26"/>
    </row>
    <row r="703" ht="15.75" customHeight="1">
      <c r="A703" s="26"/>
    </row>
    <row r="704" ht="15.75" customHeight="1">
      <c r="A704" s="26"/>
    </row>
    <row r="705" ht="15.75" customHeight="1">
      <c r="A705" s="26"/>
    </row>
    <row r="706" ht="15.75" customHeight="1">
      <c r="A706" s="26"/>
    </row>
    <row r="707" ht="15.75" customHeight="1">
      <c r="A707" s="26"/>
    </row>
    <row r="708" ht="15.75" customHeight="1">
      <c r="A708" s="26"/>
    </row>
    <row r="709" ht="15.75" customHeight="1">
      <c r="A709" s="26"/>
    </row>
    <row r="710" ht="15.75" customHeight="1">
      <c r="A710" s="26"/>
    </row>
    <row r="711" ht="15.75" customHeight="1">
      <c r="A711" s="26"/>
    </row>
    <row r="712" ht="15.75" customHeight="1">
      <c r="A712" s="26"/>
    </row>
    <row r="713" ht="15.75" customHeight="1">
      <c r="A713" s="26"/>
    </row>
    <row r="714" ht="15.75" customHeight="1">
      <c r="A714" s="26"/>
    </row>
    <row r="715" ht="15.75" customHeight="1">
      <c r="A715" s="26"/>
    </row>
    <row r="716" ht="15.75" customHeight="1">
      <c r="A716" s="26"/>
    </row>
    <row r="717" ht="15.75" customHeight="1">
      <c r="A717" s="26"/>
    </row>
    <row r="718" ht="15.75" customHeight="1">
      <c r="A718" s="26"/>
    </row>
    <row r="719" ht="15.75" customHeight="1">
      <c r="A719" s="26"/>
    </row>
    <row r="720" ht="15.75" customHeight="1">
      <c r="A720" s="26"/>
    </row>
    <row r="721" ht="15.75" customHeight="1">
      <c r="A721" s="26"/>
    </row>
    <row r="722" ht="15.75" customHeight="1">
      <c r="A722" s="26"/>
    </row>
    <row r="723" ht="15.75" customHeight="1">
      <c r="A723" s="26"/>
    </row>
    <row r="724" ht="15.75" customHeight="1">
      <c r="A724" s="26"/>
    </row>
    <row r="725" ht="15.75" customHeight="1">
      <c r="A725" s="26"/>
    </row>
    <row r="726" ht="15.75" customHeight="1">
      <c r="A726" s="26"/>
    </row>
    <row r="727" ht="15.75" customHeight="1">
      <c r="A727" s="26"/>
    </row>
    <row r="728" ht="15.75" customHeight="1">
      <c r="A728" s="26"/>
    </row>
    <row r="729" ht="15.75" customHeight="1">
      <c r="A729" s="26"/>
    </row>
    <row r="730" ht="15.75" customHeight="1">
      <c r="A730" s="26"/>
    </row>
    <row r="731" ht="15.75" customHeight="1">
      <c r="A731" s="26"/>
    </row>
    <row r="732" ht="15.75" customHeight="1">
      <c r="A732" s="26"/>
    </row>
    <row r="733" ht="15.75" customHeight="1">
      <c r="A733" s="26"/>
    </row>
    <row r="734" ht="15.75" customHeight="1">
      <c r="A734" s="26"/>
    </row>
    <row r="735" ht="15.75" customHeight="1">
      <c r="A735" s="26"/>
    </row>
    <row r="736" ht="15.75" customHeight="1">
      <c r="A736" s="26"/>
    </row>
    <row r="737" ht="15.75" customHeight="1">
      <c r="A737" s="26"/>
    </row>
    <row r="738" ht="15.75" customHeight="1">
      <c r="A738" s="26"/>
    </row>
    <row r="739" ht="15.75" customHeight="1">
      <c r="A739" s="26"/>
    </row>
    <row r="740" ht="15.75" customHeight="1">
      <c r="A740" s="26"/>
    </row>
    <row r="741" ht="15.75" customHeight="1">
      <c r="A741" s="26"/>
    </row>
    <row r="742" ht="15.75" customHeight="1">
      <c r="A742" s="26"/>
    </row>
    <row r="743" ht="15.75" customHeight="1">
      <c r="A743" s="26"/>
    </row>
    <row r="744" ht="15.75" customHeight="1">
      <c r="A744" s="26"/>
    </row>
    <row r="745" ht="15.75" customHeight="1">
      <c r="A745" s="26"/>
    </row>
    <row r="746" ht="15.75" customHeight="1">
      <c r="A746" s="26"/>
    </row>
    <row r="747" ht="15.75" customHeight="1">
      <c r="A747" s="26"/>
    </row>
    <row r="748" ht="15.75" customHeight="1">
      <c r="A748" s="26"/>
    </row>
    <row r="749" ht="15.75" customHeight="1">
      <c r="A749" s="26"/>
    </row>
    <row r="750" ht="15.75" customHeight="1">
      <c r="A750" s="26"/>
    </row>
    <row r="751" ht="15.75" customHeight="1">
      <c r="A751" s="26"/>
    </row>
    <row r="752" ht="15.75" customHeight="1">
      <c r="A752" s="26"/>
    </row>
    <row r="753" ht="15.75" customHeight="1">
      <c r="A753" s="26"/>
    </row>
    <row r="754" ht="15.75" customHeight="1">
      <c r="A754" s="26"/>
    </row>
    <row r="755" ht="15.75" customHeight="1">
      <c r="A755" s="26"/>
    </row>
    <row r="756" ht="15.75" customHeight="1">
      <c r="A756" s="26"/>
    </row>
    <row r="757" ht="15.75" customHeight="1">
      <c r="A757" s="26"/>
    </row>
    <row r="758" ht="15.75" customHeight="1">
      <c r="A758" s="26"/>
    </row>
    <row r="759" ht="15.75" customHeight="1">
      <c r="A759" s="26"/>
    </row>
    <row r="760" ht="15.75" customHeight="1">
      <c r="A760" s="26"/>
    </row>
    <row r="761" ht="15.75" customHeight="1">
      <c r="A761" s="26"/>
    </row>
    <row r="762" ht="15.75" customHeight="1">
      <c r="A762" s="26"/>
    </row>
    <row r="763" ht="15.75" customHeight="1">
      <c r="A763" s="26"/>
    </row>
    <row r="764" ht="15.75" customHeight="1">
      <c r="A764" s="26"/>
    </row>
    <row r="765" ht="15.75" customHeight="1">
      <c r="A765" s="26"/>
    </row>
    <row r="766" ht="15.75" customHeight="1">
      <c r="A766" s="26"/>
    </row>
    <row r="767" ht="15.75" customHeight="1">
      <c r="A767" s="26"/>
    </row>
    <row r="768" ht="15.75" customHeight="1">
      <c r="A768" s="26"/>
    </row>
    <row r="769" ht="15.75" customHeight="1">
      <c r="A769" s="26"/>
    </row>
    <row r="770" ht="15.75" customHeight="1">
      <c r="A770" s="26"/>
    </row>
    <row r="771" ht="15.75" customHeight="1">
      <c r="A771" s="26"/>
    </row>
    <row r="772" ht="15.75" customHeight="1">
      <c r="A772" s="26"/>
    </row>
    <row r="773" ht="15.75" customHeight="1">
      <c r="A773" s="26"/>
    </row>
    <row r="774" ht="15.75" customHeight="1">
      <c r="A774" s="26"/>
    </row>
    <row r="775" ht="15.75" customHeight="1">
      <c r="A775" s="26"/>
    </row>
    <row r="776" ht="15.75" customHeight="1">
      <c r="A776" s="26"/>
    </row>
    <row r="777" ht="15.75" customHeight="1">
      <c r="A777" s="26"/>
    </row>
    <row r="778" ht="15.75" customHeight="1">
      <c r="A778" s="26"/>
    </row>
    <row r="779" ht="15.75" customHeight="1">
      <c r="A779" s="26"/>
    </row>
    <row r="780" ht="15.75" customHeight="1">
      <c r="A780" s="26"/>
    </row>
    <row r="781" ht="15.75" customHeight="1">
      <c r="A781" s="26"/>
    </row>
    <row r="782" ht="15.75" customHeight="1">
      <c r="A782" s="26"/>
    </row>
    <row r="783" ht="15.75" customHeight="1">
      <c r="A783" s="26"/>
    </row>
    <row r="784" ht="15.75" customHeight="1">
      <c r="A784" s="26"/>
    </row>
    <row r="785" ht="15.75" customHeight="1">
      <c r="A785" s="26"/>
    </row>
    <row r="786" ht="15.75" customHeight="1">
      <c r="A786" s="26"/>
    </row>
    <row r="787" ht="15.75" customHeight="1">
      <c r="A787" s="26"/>
    </row>
    <row r="788" ht="15.75" customHeight="1">
      <c r="A788" s="26"/>
    </row>
    <row r="789" ht="15.75" customHeight="1">
      <c r="A789" s="26"/>
    </row>
    <row r="790" ht="15.75" customHeight="1">
      <c r="A790" s="26"/>
    </row>
    <row r="791" ht="15.75" customHeight="1">
      <c r="A791" s="26"/>
    </row>
    <row r="792" ht="15.75" customHeight="1">
      <c r="A792" s="26"/>
    </row>
    <row r="793" ht="15.75" customHeight="1">
      <c r="A793" s="26"/>
    </row>
    <row r="794" ht="15.75" customHeight="1">
      <c r="A794" s="26"/>
    </row>
    <row r="795" ht="15.75" customHeight="1">
      <c r="A795" s="26"/>
    </row>
    <row r="796" ht="15.75" customHeight="1">
      <c r="A796" s="26"/>
    </row>
    <row r="797" ht="15.75" customHeight="1">
      <c r="A797" s="26"/>
    </row>
    <row r="798" ht="15.75" customHeight="1">
      <c r="A798" s="26"/>
    </row>
    <row r="799" ht="15.75" customHeight="1">
      <c r="A799" s="26"/>
    </row>
    <row r="800" ht="15.75" customHeight="1">
      <c r="A800" s="26"/>
    </row>
    <row r="801" ht="15.75" customHeight="1">
      <c r="A801" s="26"/>
    </row>
    <row r="802" ht="15.75" customHeight="1">
      <c r="A802" s="26"/>
    </row>
    <row r="803" ht="15.75" customHeight="1">
      <c r="A803" s="26"/>
    </row>
    <row r="804" ht="15.75" customHeight="1">
      <c r="A804" s="26"/>
    </row>
    <row r="805" ht="15.75" customHeight="1">
      <c r="A805" s="26"/>
    </row>
    <row r="806" ht="15.75" customHeight="1">
      <c r="A806" s="26"/>
    </row>
    <row r="807" ht="15.75" customHeight="1">
      <c r="A807" s="26"/>
    </row>
    <row r="808" ht="15.75" customHeight="1">
      <c r="A808" s="26"/>
    </row>
    <row r="809" ht="15.75" customHeight="1">
      <c r="A809" s="26"/>
    </row>
    <row r="810" ht="15.75" customHeight="1">
      <c r="A810" s="26"/>
    </row>
    <row r="811" ht="15.75" customHeight="1">
      <c r="A811" s="26"/>
    </row>
    <row r="812" ht="15.75" customHeight="1">
      <c r="A812" s="26"/>
    </row>
    <row r="813" ht="15.75" customHeight="1">
      <c r="A813" s="26"/>
    </row>
    <row r="814" ht="15.75" customHeight="1">
      <c r="A814" s="26"/>
    </row>
    <row r="815" ht="15.75" customHeight="1">
      <c r="A815" s="26"/>
    </row>
    <row r="816" ht="15.75" customHeight="1">
      <c r="A816" s="26"/>
    </row>
    <row r="817" ht="15.75" customHeight="1">
      <c r="A817" s="26"/>
    </row>
    <row r="818" ht="15.75" customHeight="1">
      <c r="A818" s="26"/>
    </row>
    <row r="819" ht="15.75" customHeight="1">
      <c r="A819" s="26"/>
    </row>
    <row r="820" ht="15.75" customHeight="1">
      <c r="A820" s="26"/>
    </row>
    <row r="821" ht="15.75" customHeight="1">
      <c r="A821" s="26"/>
    </row>
    <row r="822" ht="15.75" customHeight="1">
      <c r="A822" s="26"/>
    </row>
    <row r="823" ht="15.75" customHeight="1">
      <c r="A823" s="26"/>
    </row>
    <row r="824" ht="15.75" customHeight="1">
      <c r="A824" s="26"/>
    </row>
    <row r="825" ht="15.75" customHeight="1">
      <c r="A825" s="26"/>
    </row>
    <row r="826" ht="15.75" customHeight="1">
      <c r="A826" s="26"/>
    </row>
    <row r="827" ht="15.75" customHeight="1">
      <c r="A827" s="26"/>
    </row>
    <row r="828" ht="15.75" customHeight="1">
      <c r="A828" s="26"/>
    </row>
    <row r="829" ht="15.75" customHeight="1">
      <c r="A829" s="26"/>
    </row>
    <row r="830" ht="15.75" customHeight="1">
      <c r="A830" s="26"/>
    </row>
    <row r="831" ht="15.75" customHeight="1">
      <c r="A831" s="26"/>
    </row>
    <row r="832" ht="15.75" customHeight="1">
      <c r="A832" s="26"/>
    </row>
    <row r="833" ht="15.75" customHeight="1">
      <c r="A833" s="26"/>
    </row>
    <row r="834" ht="15.75" customHeight="1">
      <c r="A834" s="26"/>
    </row>
    <row r="835" ht="15.75" customHeight="1">
      <c r="A835" s="26"/>
    </row>
    <row r="836" ht="15.75" customHeight="1">
      <c r="A836" s="26"/>
    </row>
    <row r="837" ht="15.75" customHeight="1">
      <c r="A837" s="26"/>
    </row>
    <row r="838" ht="15.75" customHeight="1">
      <c r="A838" s="26"/>
    </row>
    <row r="839" ht="15.75" customHeight="1">
      <c r="A839" s="26"/>
    </row>
    <row r="840" ht="15.75" customHeight="1">
      <c r="A840" s="26"/>
    </row>
    <row r="841" ht="15.75" customHeight="1">
      <c r="A841" s="26"/>
    </row>
    <row r="842" ht="15.75" customHeight="1">
      <c r="A842" s="26"/>
    </row>
    <row r="843" ht="15.75" customHeight="1">
      <c r="A843" s="26"/>
    </row>
    <row r="844" ht="15.75" customHeight="1">
      <c r="A844" s="26"/>
    </row>
    <row r="845" ht="15.75" customHeight="1">
      <c r="A845" s="26"/>
    </row>
    <row r="846" ht="15.75" customHeight="1">
      <c r="A846" s="26"/>
    </row>
    <row r="847" ht="15.75" customHeight="1">
      <c r="A847" s="26"/>
    </row>
    <row r="848" ht="15.75" customHeight="1">
      <c r="A848" s="26"/>
    </row>
    <row r="849" ht="15.75" customHeight="1">
      <c r="A849" s="26"/>
    </row>
    <row r="850" ht="15.75" customHeight="1">
      <c r="A850" s="26"/>
    </row>
    <row r="851" ht="15.75" customHeight="1">
      <c r="A851" s="26"/>
    </row>
    <row r="852" ht="15.75" customHeight="1">
      <c r="A852" s="26"/>
    </row>
    <row r="853" ht="15.75" customHeight="1">
      <c r="A853" s="26"/>
    </row>
    <row r="854" ht="15.75" customHeight="1">
      <c r="A854" s="26"/>
    </row>
    <row r="855" ht="15.75" customHeight="1">
      <c r="A855" s="26"/>
    </row>
    <row r="856" ht="15.75" customHeight="1">
      <c r="A856" s="26"/>
    </row>
    <row r="857" ht="15.75" customHeight="1">
      <c r="A857" s="26"/>
    </row>
    <row r="858" ht="15.75" customHeight="1">
      <c r="A858" s="26"/>
    </row>
    <row r="859" ht="15.75" customHeight="1">
      <c r="A859" s="26"/>
    </row>
    <row r="860" ht="15.75" customHeight="1">
      <c r="A860" s="26"/>
    </row>
    <row r="861" ht="15.75" customHeight="1">
      <c r="A861" s="26"/>
    </row>
    <row r="862" ht="15.75" customHeight="1">
      <c r="A862" s="26"/>
    </row>
    <row r="863" ht="15.75" customHeight="1">
      <c r="A863" s="26"/>
    </row>
    <row r="864" ht="15.75" customHeight="1">
      <c r="A864" s="26"/>
    </row>
    <row r="865" ht="15.75" customHeight="1">
      <c r="A865" s="26"/>
    </row>
    <row r="866" ht="15.75" customHeight="1">
      <c r="A866" s="26"/>
    </row>
    <row r="867" ht="15.75" customHeight="1">
      <c r="A867" s="26"/>
    </row>
    <row r="868" ht="15.75" customHeight="1">
      <c r="A868" s="26"/>
    </row>
    <row r="869" ht="15.75" customHeight="1">
      <c r="A869" s="26"/>
    </row>
    <row r="870" ht="15.75" customHeight="1">
      <c r="A870" s="26"/>
    </row>
    <row r="871" ht="15.75" customHeight="1">
      <c r="A871" s="26"/>
    </row>
    <row r="872" ht="15.75" customHeight="1">
      <c r="A872" s="26"/>
    </row>
    <row r="873" ht="15.75" customHeight="1">
      <c r="A873" s="26"/>
    </row>
    <row r="874" ht="15.75" customHeight="1">
      <c r="A874" s="26"/>
    </row>
    <row r="875" ht="15.75" customHeight="1">
      <c r="A875" s="26"/>
    </row>
    <row r="876" ht="15.75" customHeight="1">
      <c r="A876" s="26"/>
    </row>
    <row r="877" ht="15.75" customHeight="1">
      <c r="A877" s="26"/>
    </row>
    <row r="878" ht="15.75" customHeight="1">
      <c r="A878" s="26"/>
    </row>
    <row r="879" ht="15.75" customHeight="1">
      <c r="A879" s="26"/>
    </row>
    <row r="880" ht="15.75" customHeight="1">
      <c r="A880" s="26"/>
    </row>
    <row r="881" ht="15.75" customHeight="1">
      <c r="A881" s="26"/>
    </row>
    <row r="882" ht="15.75" customHeight="1">
      <c r="A882" s="26"/>
    </row>
    <row r="883" ht="15.75" customHeight="1">
      <c r="A883" s="26"/>
    </row>
    <row r="884" ht="15.75" customHeight="1">
      <c r="A884" s="26"/>
    </row>
    <row r="885" ht="15.75" customHeight="1">
      <c r="A885" s="26"/>
    </row>
    <row r="886" ht="15.75" customHeight="1">
      <c r="A886" s="26"/>
    </row>
    <row r="887" ht="15.75" customHeight="1">
      <c r="A887" s="26"/>
    </row>
    <row r="888" ht="15.75" customHeight="1">
      <c r="A888" s="26"/>
    </row>
    <row r="889" ht="15.75" customHeight="1">
      <c r="A889" s="26"/>
    </row>
    <row r="890" ht="15.75" customHeight="1">
      <c r="A890" s="26"/>
    </row>
    <row r="891" ht="15.75" customHeight="1">
      <c r="A891" s="26"/>
    </row>
    <row r="892" ht="15.75" customHeight="1">
      <c r="A892" s="26"/>
    </row>
    <row r="893" ht="15.75" customHeight="1">
      <c r="A893" s="26"/>
    </row>
    <row r="894" ht="15.75" customHeight="1">
      <c r="A894" s="26"/>
    </row>
    <row r="895" ht="15.75" customHeight="1">
      <c r="A895" s="26"/>
    </row>
    <row r="896" ht="15.75" customHeight="1">
      <c r="A896" s="26"/>
    </row>
    <row r="897" ht="15.75" customHeight="1">
      <c r="A897" s="26"/>
    </row>
    <row r="898" ht="15.75" customHeight="1">
      <c r="A898" s="26"/>
    </row>
    <row r="899" ht="15.75" customHeight="1">
      <c r="A899" s="26"/>
    </row>
    <row r="900" ht="15.75" customHeight="1">
      <c r="A900" s="26"/>
    </row>
    <row r="901" ht="15.75" customHeight="1">
      <c r="A901" s="26"/>
    </row>
    <row r="902" ht="15.75" customHeight="1">
      <c r="A902" s="26"/>
    </row>
    <row r="903" ht="15.75" customHeight="1">
      <c r="A903" s="26"/>
    </row>
    <row r="904" ht="15.75" customHeight="1">
      <c r="A904" s="26"/>
    </row>
    <row r="905" ht="15.75" customHeight="1">
      <c r="A905" s="26"/>
    </row>
    <row r="906" ht="15.75" customHeight="1">
      <c r="A906" s="26"/>
    </row>
    <row r="907" ht="15.75" customHeight="1">
      <c r="A907" s="26"/>
    </row>
    <row r="908" ht="15.75" customHeight="1">
      <c r="A908" s="26"/>
    </row>
    <row r="909" ht="15.75" customHeight="1">
      <c r="A909" s="26"/>
    </row>
    <row r="910" ht="15.75" customHeight="1">
      <c r="A910" s="26"/>
    </row>
    <row r="911" ht="15.75" customHeight="1">
      <c r="A911" s="26"/>
    </row>
    <row r="912" ht="15.75" customHeight="1">
      <c r="A912" s="26"/>
    </row>
    <row r="913" ht="15.75" customHeight="1">
      <c r="A913" s="26"/>
    </row>
    <row r="914" ht="15.75" customHeight="1">
      <c r="A914" s="26"/>
    </row>
    <row r="915" ht="15.75" customHeight="1">
      <c r="A915" s="26"/>
    </row>
    <row r="916" ht="15.75" customHeight="1">
      <c r="A916" s="26"/>
    </row>
    <row r="917" ht="15.75" customHeight="1">
      <c r="A917" s="26"/>
    </row>
    <row r="918" ht="15.75" customHeight="1">
      <c r="A918" s="26"/>
    </row>
    <row r="919" ht="15.75" customHeight="1">
      <c r="A919" s="26"/>
    </row>
    <row r="920" ht="15.75" customHeight="1">
      <c r="A920" s="26"/>
    </row>
    <row r="921" ht="15.75" customHeight="1">
      <c r="A921" s="26"/>
    </row>
    <row r="922" ht="15.75" customHeight="1">
      <c r="A922" s="26"/>
    </row>
    <row r="923" ht="15.75" customHeight="1">
      <c r="A923" s="26"/>
    </row>
    <row r="924" ht="15.75" customHeight="1">
      <c r="A924" s="26"/>
    </row>
    <row r="925" ht="15.75" customHeight="1">
      <c r="A925" s="26"/>
    </row>
    <row r="926" ht="15.75" customHeight="1">
      <c r="A926" s="26"/>
    </row>
    <row r="927" ht="15.75" customHeight="1">
      <c r="A927" s="26"/>
    </row>
    <row r="928" ht="15.75" customHeight="1">
      <c r="A928" s="26"/>
    </row>
    <row r="929" ht="15.75" customHeight="1">
      <c r="A929" s="26"/>
    </row>
    <row r="930" ht="15.75" customHeight="1">
      <c r="A930" s="26"/>
    </row>
    <row r="931" ht="15.75" customHeight="1">
      <c r="A931" s="26"/>
    </row>
    <row r="932" ht="15.75" customHeight="1">
      <c r="A932" s="26"/>
    </row>
    <row r="933" ht="15.75" customHeight="1">
      <c r="A933" s="26"/>
    </row>
    <row r="934" ht="15.75" customHeight="1">
      <c r="A934" s="26"/>
    </row>
    <row r="935" ht="15.75" customHeight="1">
      <c r="A935" s="26"/>
    </row>
    <row r="936" ht="15.75" customHeight="1">
      <c r="A936" s="26"/>
    </row>
    <row r="937" ht="15.75" customHeight="1">
      <c r="A937" s="26"/>
    </row>
    <row r="938" ht="15.75" customHeight="1">
      <c r="A938" s="26"/>
    </row>
    <row r="939" ht="15.75" customHeight="1">
      <c r="A939" s="26"/>
    </row>
    <row r="940" ht="15.75" customHeight="1">
      <c r="A940" s="26"/>
    </row>
    <row r="941" ht="15.75" customHeight="1">
      <c r="A941" s="26"/>
    </row>
    <row r="942" ht="15.75" customHeight="1">
      <c r="A942" s="26"/>
    </row>
    <row r="943" ht="15.75" customHeight="1">
      <c r="A943" s="26"/>
    </row>
    <row r="944" ht="15.75" customHeight="1">
      <c r="A944" s="26"/>
    </row>
    <row r="945" ht="15.75" customHeight="1">
      <c r="A945" s="26"/>
    </row>
    <row r="946" ht="15.75" customHeight="1">
      <c r="A946" s="26"/>
    </row>
    <row r="947" ht="15.75" customHeight="1">
      <c r="A947" s="26"/>
    </row>
    <row r="948" ht="15.75" customHeight="1">
      <c r="A948" s="26"/>
    </row>
    <row r="949" ht="15.75" customHeight="1">
      <c r="A949" s="26"/>
    </row>
    <row r="950" ht="15.75" customHeight="1">
      <c r="A950" s="26"/>
    </row>
    <row r="951" ht="15.75" customHeight="1">
      <c r="A951" s="26"/>
    </row>
    <row r="952" ht="15.75" customHeight="1">
      <c r="A952" s="26"/>
    </row>
    <row r="953" ht="15.75" customHeight="1">
      <c r="A953" s="26"/>
    </row>
    <row r="954" ht="15.75" customHeight="1">
      <c r="A954" s="26"/>
    </row>
    <row r="955" ht="15.75" customHeight="1">
      <c r="A955" s="26"/>
    </row>
    <row r="956" ht="15.75" customHeight="1">
      <c r="A956" s="26"/>
    </row>
    <row r="957" ht="15.75" customHeight="1">
      <c r="A957" s="26"/>
    </row>
    <row r="958" ht="15.75" customHeight="1">
      <c r="A958" s="26"/>
    </row>
    <row r="959" ht="15.75" customHeight="1">
      <c r="A959" s="26"/>
    </row>
    <row r="960" ht="15.75" customHeight="1">
      <c r="A960" s="26"/>
    </row>
    <row r="961" ht="15.75" customHeight="1">
      <c r="A961" s="26"/>
    </row>
    <row r="962" ht="15.75" customHeight="1">
      <c r="A962" s="26"/>
    </row>
    <row r="963" ht="15.75" customHeight="1">
      <c r="A963" s="26"/>
    </row>
    <row r="964" ht="15.75" customHeight="1">
      <c r="A964" s="26"/>
    </row>
    <row r="965" ht="15.75" customHeight="1">
      <c r="A965" s="26"/>
    </row>
    <row r="966" ht="15.75" customHeight="1">
      <c r="A966" s="26"/>
    </row>
    <row r="967" ht="15.75" customHeight="1">
      <c r="A967" s="26"/>
    </row>
    <row r="968" ht="15.75" customHeight="1">
      <c r="A968" s="26"/>
    </row>
    <row r="969" ht="15.75" customHeight="1">
      <c r="A969" s="26"/>
    </row>
    <row r="970" ht="15.75" customHeight="1">
      <c r="A970" s="26"/>
    </row>
    <row r="971" ht="15.75" customHeight="1">
      <c r="A971" s="26"/>
    </row>
    <row r="972" ht="15.75" customHeight="1">
      <c r="A972" s="26"/>
    </row>
    <row r="973" ht="15.75" customHeight="1">
      <c r="A973" s="26"/>
    </row>
    <row r="974" ht="15.75" customHeight="1">
      <c r="A974" s="26"/>
    </row>
    <row r="975" ht="15.75" customHeight="1">
      <c r="A975" s="26"/>
    </row>
    <row r="976" ht="15.75" customHeight="1">
      <c r="A976" s="26"/>
    </row>
    <row r="977" ht="15.75" customHeight="1">
      <c r="A977" s="26"/>
    </row>
    <row r="978" ht="15.75" customHeight="1">
      <c r="A978" s="26"/>
    </row>
    <row r="979" ht="15.75" customHeight="1">
      <c r="A979" s="26"/>
    </row>
    <row r="980" ht="15.75" customHeight="1">
      <c r="A980" s="26"/>
    </row>
    <row r="981" ht="15.75" customHeight="1">
      <c r="A981" s="26"/>
    </row>
    <row r="982" ht="15.75" customHeight="1">
      <c r="A982" s="26"/>
    </row>
    <row r="983" ht="15.75" customHeight="1">
      <c r="A983" s="26"/>
    </row>
    <row r="984" ht="15.75" customHeight="1">
      <c r="A984" s="26"/>
    </row>
    <row r="985" ht="15.75" customHeight="1">
      <c r="A985" s="26"/>
    </row>
    <row r="986" ht="15.75" customHeight="1">
      <c r="A986" s="26"/>
    </row>
    <row r="987" ht="15.75" customHeight="1">
      <c r="A987" s="26"/>
    </row>
    <row r="988" ht="15.75" customHeight="1">
      <c r="A988" s="26"/>
    </row>
    <row r="989" ht="15.75" customHeight="1">
      <c r="A989" s="26"/>
    </row>
    <row r="990" ht="15.75" customHeight="1">
      <c r="A990" s="26"/>
    </row>
    <row r="991" ht="15.75" customHeight="1">
      <c r="A991" s="26"/>
    </row>
    <row r="992" ht="15.75" customHeight="1">
      <c r="A992" s="26"/>
    </row>
    <row r="993" ht="15.75" customHeight="1">
      <c r="A993" s="26"/>
    </row>
    <row r="994" ht="15.75" customHeight="1">
      <c r="A994" s="26"/>
    </row>
    <row r="995" ht="15.75" customHeight="1">
      <c r="A995" s="26"/>
    </row>
    <row r="996" ht="15.75" customHeight="1">
      <c r="A996" s="26"/>
    </row>
    <row r="997" ht="15.75" customHeight="1">
      <c r="A997" s="26"/>
    </row>
    <row r="998" ht="15.75" customHeight="1">
      <c r="A998" s="26"/>
    </row>
    <row r="999" ht="15.75" customHeight="1">
      <c r="A999" s="26"/>
    </row>
    <row r="1000" ht="15.75" customHeight="1">
      <c r="A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88"/>
    <col customWidth="1" min="3" max="3" width="36.38"/>
    <col customWidth="1" min="4" max="6" width="12.63"/>
  </cols>
  <sheetData>
    <row r="1" ht="15.75" customHeight="1">
      <c r="A1" s="24">
        <f>IFERROR(__xludf.DUMMYFUNCTION("FILTER(
  {REGULARES!A:C,REGULARES!E:E;'¡VAMOS! (361–380)'!A:C,'¡VAMOS! (361–380)'!E:E;'Guantes de Oro (381–387)'!A:C,'Guantes de Oro (381–387)'!E:E;'Kryptonita (388–396)'!A:C,'Kryptonita (388–396)'!E:E;'Diamantes (397–414)'!A:C,'Diamantes (397–414)'!E:E;"&amp;"'Influencers (415–423)'!A:C,'Influencers (415–423)'!E:E;'Protas (424–441)'!A:C,'Protas (424–441)'!E:E;'Super Cracks (442–467)'!A:C,'Super Cracks (442–467)'!E:E;'Cartas Top y Únicas (468–478)'!A:C,'Cartas Top y Únicas (468–478)'!E:E;AMPLIACION!A:C,AMPLIACI"&amp;"ON!E:E;ESPECIALES!A:C,ESPECIALES!E:E;Estadios!A:C,Estadios!E:E},
  {REGULARES!E:E;'¡VAMOS! (361–380)'!E:E;'Guantes de Oro (381–387)'!E:E;'Kryptonita (388–396)'!E:E;'Diamantes (397–414)'!E:E;'Influencers (415–423)'!E:E;'Protas (424–441)'!E:E;'Super Cracks "&amp;"(442–467)'!E:E;'Cartas Top y Únicas (468–478)'!E:E;AMPLIACION!E:E;ESPECIALES!E:E;Estadios!E:E}&gt;0
)"),1.0)</f>
        <v>1</v>
      </c>
      <c r="B1" s="24" t="str">
        <f>IFERROR(__xludf.DUMMYFUNCTION("""COMPUTED_VALUE"""),"ESCUDO")</f>
        <v>ESCUDO</v>
      </c>
      <c r="C1" s="24" t="str">
        <f>IFERROR(__xludf.DUMMYFUNCTION("""COMPUTED_VALUE"""),"D. ALAVÉS")</f>
        <v>D. ALAVÉS</v>
      </c>
      <c r="D1" s="24">
        <f>IFERROR(__xludf.DUMMYFUNCTION("""COMPUTED_VALUE"""),1.0)</f>
        <v>1</v>
      </c>
    </row>
    <row r="2" ht="15.75" customHeight="1">
      <c r="A2" s="24">
        <f>IFERROR(__xludf.DUMMYFUNCTION("""COMPUTED_VALUE"""),3.0)</f>
        <v>3</v>
      </c>
      <c r="B2" s="24" t="str">
        <f>IFERROR(__xludf.DUMMYFUNCTION("""COMPUTED_VALUE"""),"RAÚL FERNÁNDEZ")</f>
        <v>RAÚL FERNÁNDEZ</v>
      </c>
      <c r="C2" s="24" t="str">
        <f>IFERROR(__xludf.DUMMYFUNCTION("""COMPUTED_VALUE"""),"D. ALAVÉS")</f>
        <v>D. ALAVÉS</v>
      </c>
      <c r="D2" s="24">
        <f>IFERROR(__xludf.DUMMYFUNCTION("""COMPUTED_VALUE"""),1.0)</f>
        <v>1</v>
      </c>
    </row>
    <row r="3" ht="15.75" customHeight="1">
      <c r="A3" s="24">
        <f>IFERROR(__xludf.DUMMYFUNCTION("""COMPUTED_VALUE"""),4.0)</f>
        <v>4</v>
      </c>
      <c r="B3" s="24" t="str">
        <f>IFERROR(__xludf.DUMMYFUNCTION("""COMPUTED_VALUE"""),"JONNY")</f>
        <v>JONNY</v>
      </c>
      <c r="C3" s="24" t="str">
        <f>IFERROR(__xludf.DUMMYFUNCTION("""COMPUTED_VALUE"""),"D. ALAVÉS")</f>
        <v>D. ALAVÉS</v>
      </c>
      <c r="D3" s="24">
        <f>IFERROR(__xludf.DUMMYFUNCTION("""COMPUTED_VALUE"""),1.0)</f>
        <v>1</v>
      </c>
    </row>
    <row r="4" ht="15.75" customHeight="1">
      <c r="A4" s="24">
        <f>IFERROR(__xludf.DUMMYFUNCTION("""COMPUTED_VALUE"""),5.0)</f>
        <v>5</v>
      </c>
      <c r="B4" s="24" t="str">
        <f>IFERROR(__xludf.DUMMYFUNCTION("""COMPUTED_VALUE"""),"TENAGLIA")</f>
        <v>TENAGLIA</v>
      </c>
      <c r="C4" s="24" t="str">
        <f>IFERROR(__xludf.DUMMYFUNCTION("""COMPUTED_VALUE"""),"D. ALAVÉS")</f>
        <v>D. ALAVÉS</v>
      </c>
      <c r="D4" s="24">
        <f>IFERROR(__xludf.DUMMYFUNCTION("""COMPUTED_VALUE"""),1.0)</f>
        <v>1</v>
      </c>
    </row>
    <row r="5" ht="15.75" customHeight="1">
      <c r="A5" s="24">
        <f>IFERROR(__xludf.DUMMYFUNCTION("""COMPUTED_VALUE"""),7.0)</f>
        <v>7</v>
      </c>
      <c r="B5" s="24" t="str">
        <f>IFERROR(__xludf.DUMMYFUNCTION("""COMPUTED_VALUE"""),"PARADA")</f>
        <v>PARADA</v>
      </c>
      <c r="C5" s="24" t="str">
        <f>IFERROR(__xludf.DUMMYFUNCTION("""COMPUTED_VALUE"""),"D. ALAVÉS")</f>
        <v>D. ALAVÉS</v>
      </c>
      <c r="D5" s="24">
        <f>IFERROR(__xludf.DUMMYFUNCTION("""COMPUTED_VALUE"""),1.0)</f>
        <v>1</v>
      </c>
    </row>
    <row r="6" ht="15.75" customHeight="1">
      <c r="A6" s="24">
        <f>IFERROR(__xludf.DUMMYFUNCTION("""COMPUTED_VALUE"""),8.0)</f>
        <v>8</v>
      </c>
      <c r="B6" s="24" t="str">
        <f>IFERROR(__xludf.DUMMYFUNCTION("""COMPUTED_VALUE"""),"MOUSSA DIARRA")</f>
        <v>MOUSSA DIARRA</v>
      </c>
      <c r="C6" s="24" t="str">
        <f>IFERROR(__xludf.DUMMYFUNCTION("""COMPUTED_VALUE"""),"D. ALAVÉS")</f>
        <v>D. ALAVÉS</v>
      </c>
      <c r="D6" s="24">
        <f>IFERROR(__xludf.DUMMYFUNCTION("""COMPUTED_VALUE"""),1.0)</f>
        <v>1</v>
      </c>
    </row>
    <row r="7" ht="15.75" customHeight="1">
      <c r="A7" s="24">
        <f>IFERROR(__xludf.DUMMYFUNCTION("""COMPUTED_VALUE"""),15.0)</f>
        <v>15</v>
      </c>
      <c r="B7" s="24" t="str">
        <f>IFERROR(__xludf.DUMMYFUNCTION("""COMPUTED_VALUE"""),"CARLOS VICENTE")</f>
        <v>CARLOS VICENTE</v>
      </c>
      <c r="C7" s="24" t="str">
        <f>IFERROR(__xludf.DUMMYFUNCTION("""COMPUTED_VALUE"""),"D. ALAVÉS")</f>
        <v>D. ALAVÉS</v>
      </c>
      <c r="D7" s="24">
        <f>IFERROR(__xludf.DUMMYFUNCTION("""COMPUTED_VALUE"""),1.0)</f>
        <v>1</v>
      </c>
    </row>
    <row r="8" ht="15.75" customHeight="1">
      <c r="A8" s="24">
        <f>IFERROR(__xludf.DUMMYFUNCTION("""COMPUTED_VALUE"""),16.0)</f>
        <v>16</v>
      </c>
      <c r="B8" s="24" t="str">
        <f>IFERROR(__xludf.DUMMYFUNCTION("""COMPUTED_VALUE"""),"TONI MARTÍNEZ")</f>
        <v>TONI MARTÍNEZ</v>
      </c>
      <c r="C8" s="24" t="str">
        <f>IFERROR(__xludf.DUMMYFUNCTION("""COMPUTED_VALUE"""),"D. ALAVÉS")</f>
        <v>D. ALAVÉS</v>
      </c>
      <c r="D8" s="24">
        <f>IFERROR(__xludf.DUMMYFUNCTION("""COMPUTED_VALUE"""),1.0)</f>
        <v>1</v>
      </c>
    </row>
    <row r="9" ht="15.75" customHeight="1">
      <c r="A9" s="24">
        <f>IFERROR(__xludf.DUMMYFUNCTION("""COMPUTED_VALUE"""),17.0)</f>
        <v>17</v>
      </c>
      <c r="B9" s="24" t="str">
        <f>IFERROR(__xludf.DUMMYFUNCTION("""COMPUTED_VALUE"""),"BOYÉ")</f>
        <v>BOYÉ</v>
      </c>
      <c r="C9" s="24" t="str">
        <f>IFERROR(__xludf.DUMMYFUNCTION("""COMPUTED_VALUE"""),"D. ALAVÉS")</f>
        <v>D. ALAVÉS</v>
      </c>
      <c r="D9" s="24">
        <f>IFERROR(__xludf.DUMMYFUNCTION("""COMPUTED_VALUE"""),1.0)</f>
        <v>1</v>
      </c>
    </row>
    <row r="10" ht="15.75" customHeight="1">
      <c r="A10" s="24">
        <f>IFERROR(__xludf.DUMMYFUNCTION("""COMPUTED_VALUE"""),18.0)</f>
        <v>18</v>
      </c>
      <c r="B10" s="24" t="str">
        <f>IFERROR(__xludf.DUMMYFUNCTION("""COMPUTED_VALUE"""),"MARIANO")</f>
        <v>MARIANO</v>
      </c>
      <c r="C10" s="24" t="str">
        <f>IFERROR(__xludf.DUMMYFUNCTION("""COMPUTED_VALUE"""),"D. ALAVÉS")</f>
        <v>D. ALAVÉS</v>
      </c>
      <c r="D10" s="24">
        <f>IFERROR(__xludf.DUMMYFUNCTION("""COMPUTED_VALUE"""),2.0)</f>
        <v>2</v>
      </c>
    </row>
    <row r="11" ht="15.75" customHeight="1">
      <c r="A11" s="24">
        <f>IFERROR(__xludf.DUMMYFUNCTION("""COMPUTED_VALUE"""),19.0)</f>
        <v>19</v>
      </c>
      <c r="B11" s="24" t="str">
        <f>IFERROR(__xludf.DUMMYFUNCTION("""COMPUTED_VALUE"""),"ESCUDO")</f>
        <v>ESCUDO</v>
      </c>
      <c r="C11" s="24" t="str">
        <f>IFERROR(__xludf.DUMMYFUNCTION("""COMPUTED_VALUE"""),"ATHLETIC CLUB")</f>
        <v>ATHLETIC CLUB</v>
      </c>
      <c r="D11" s="24">
        <f>IFERROR(__xludf.DUMMYFUNCTION("""COMPUTED_VALUE"""),1.0)</f>
        <v>1</v>
      </c>
    </row>
    <row r="12" ht="15.75" customHeight="1">
      <c r="A12" s="24">
        <f>IFERROR(__xludf.DUMMYFUNCTION("""COMPUTED_VALUE"""),21.0)</f>
        <v>21</v>
      </c>
      <c r="B12" s="24" t="str">
        <f>IFERROR(__xludf.DUMMYFUNCTION("""COMPUTED_VALUE"""),"PADILLA")</f>
        <v>PADILLA</v>
      </c>
      <c r="C12" s="24" t="str">
        <f>IFERROR(__xludf.DUMMYFUNCTION("""COMPUTED_VALUE"""),"ATHLETIC CLUB")</f>
        <v>ATHLETIC CLUB</v>
      </c>
      <c r="D12" s="24">
        <f>IFERROR(__xludf.DUMMYFUNCTION("""COMPUTED_VALUE"""),1.0)</f>
        <v>1</v>
      </c>
    </row>
    <row r="13" ht="15.75" customHeight="1">
      <c r="A13" s="24">
        <f>IFERROR(__xludf.DUMMYFUNCTION("""COMPUTED_VALUE"""),23.0)</f>
        <v>23</v>
      </c>
      <c r="B13" s="24" t="str">
        <f>IFERROR(__xludf.DUMMYFUNCTION("""COMPUTED_VALUE"""),"VIVIAN")</f>
        <v>VIVIAN</v>
      </c>
      <c r="C13" s="24" t="str">
        <f>IFERROR(__xludf.DUMMYFUNCTION("""COMPUTED_VALUE"""),"ATHLETIC CLUB")</f>
        <v>ATHLETIC CLUB</v>
      </c>
      <c r="D13" s="24">
        <f>IFERROR(__xludf.DUMMYFUNCTION("""COMPUTED_VALUE"""),2.0)</f>
        <v>2</v>
      </c>
    </row>
    <row r="14" ht="15.75" customHeight="1">
      <c r="A14" s="24">
        <f>IFERROR(__xludf.DUMMYFUNCTION("""COMPUTED_VALUE"""),27.0)</f>
        <v>27</v>
      </c>
      <c r="B14" s="24" t="str">
        <f>IFERROR(__xludf.DUMMYFUNCTION("""COMPUTED_VALUE"""),"RUIZ DE GALARRETA")</f>
        <v>RUIZ DE GALARRETA</v>
      </c>
      <c r="C14" s="24" t="str">
        <f>IFERROR(__xludf.DUMMYFUNCTION("""COMPUTED_VALUE"""),"ATHLETIC CLUB")</f>
        <v>ATHLETIC CLUB</v>
      </c>
      <c r="D14" s="24">
        <f>IFERROR(__xludf.DUMMYFUNCTION("""COMPUTED_VALUE"""),1.0)</f>
        <v>1</v>
      </c>
    </row>
    <row r="15" ht="15.75" customHeight="1">
      <c r="A15" s="24">
        <f>IFERROR(__xludf.DUMMYFUNCTION("""COMPUTED_VALUE"""),31.0)</f>
        <v>31</v>
      </c>
      <c r="B15" s="24" t="str">
        <f>IFERROR(__xludf.DUMMYFUNCTION("""COMPUTED_VALUE"""),"SANCET")</f>
        <v>SANCET</v>
      </c>
      <c r="C15" s="24" t="str">
        <f>IFERROR(__xludf.DUMMYFUNCTION("""COMPUTED_VALUE"""),"ATHLETIC CLUB")</f>
        <v>ATHLETIC CLUB</v>
      </c>
      <c r="D15" s="24">
        <f>IFERROR(__xludf.DUMMYFUNCTION("""COMPUTED_VALUE"""),1.0)</f>
        <v>1</v>
      </c>
    </row>
    <row r="16" ht="15.75" customHeight="1">
      <c r="A16" s="24">
        <f>IFERROR(__xludf.DUMMYFUNCTION("""COMPUTED_VALUE"""),32.0)</f>
        <v>32</v>
      </c>
      <c r="B16" s="24" t="str">
        <f>IFERROR(__xludf.DUMMYFUNCTION("""COMPUTED_VALUE"""),"BERENGUER")</f>
        <v>BERENGUER</v>
      </c>
      <c r="C16" s="24" t="str">
        <f>IFERROR(__xludf.DUMMYFUNCTION("""COMPUTED_VALUE"""),"ATHLETIC CLUB")</f>
        <v>ATHLETIC CLUB</v>
      </c>
      <c r="D16" s="24">
        <f>IFERROR(__xludf.DUMMYFUNCTION("""COMPUTED_VALUE"""),1.0)</f>
        <v>1</v>
      </c>
    </row>
    <row r="17" ht="15.75" customHeight="1">
      <c r="A17" s="24">
        <f>IFERROR(__xludf.DUMMYFUNCTION("""COMPUTED_VALUE"""),33.0)</f>
        <v>33</v>
      </c>
      <c r="B17" s="24" t="str">
        <f>IFERROR(__xludf.DUMMYFUNCTION("""COMPUTED_VALUE"""),"WILLIAMS")</f>
        <v>WILLIAMS</v>
      </c>
      <c r="C17" s="24" t="str">
        <f>IFERROR(__xludf.DUMMYFUNCTION("""COMPUTED_VALUE"""),"ATHLETIC CLUB")</f>
        <v>ATHLETIC CLUB</v>
      </c>
      <c r="D17" s="24">
        <f>IFERROR(__xludf.DUMMYFUNCTION("""COMPUTED_VALUE"""),1.0)</f>
        <v>1</v>
      </c>
    </row>
    <row r="18" ht="15.75" customHeight="1">
      <c r="A18" s="24">
        <f>IFERROR(__xludf.DUMMYFUNCTION("""COMPUTED_VALUE"""),34.0)</f>
        <v>34</v>
      </c>
      <c r="B18" s="24" t="str">
        <f>IFERROR(__xludf.DUMMYFUNCTION("""COMPUTED_VALUE"""),"MAROAN")</f>
        <v>MAROAN</v>
      </c>
      <c r="C18" s="24" t="str">
        <f>IFERROR(__xludf.DUMMYFUNCTION("""COMPUTED_VALUE"""),"ATHLETIC CLUB")</f>
        <v>ATHLETIC CLUB</v>
      </c>
      <c r="D18" s="24">
        <f>IFERROR(__xludf.DUMMYFUNCTION("""COMPUTED_VALUE"""),1.0)</f>
        <v>1</v>
      </c>
    </row>
    <row r="19" ht="15.75" customHeight="1">
      <c r="A19" s="24">
        <f>IFERROR(__xludf.DUMMYFUNCTION("""COMPUTED_VALUE"""),39.0)</f>
        <v>39</v>
      </c>
      <c r="B19" s="24" t="str">
        <f>IFERROR(__xludf.DUMMYFUNCTION("""COMPUTED_VALUE"""),"MUSSO")</f>
        <v>MUSSO</v>
      </c>
      <c r="C19" s="24" t="str">
        <f>IFERROR(__xludf.DUMMYFUNCTION("""COMPUTED_VALUE"""),"ATLÉTICO DE MADRID")</f>
        <v>ATLÉTICO DE MADRID</v>
      </c>
      <c r="D19" s="24">
        <f>IFERROR(__xludf.DUMMYFUNCTION("""COMPUTED_VALUE"""),2.0)</f>
        <v>2</v>
      </c>
    </row>
    <row r="20" ht="15.75" customHeight="1">
      <c r="A20" s="24">
        <f>IFERROR(__xludf.DUMMYFUNCTION("""COMPUTED_VALUE"""),40.0)</f>
        <v>40</v>
      </c>
      <c r="B20" s="24" t="str">
        <f>IFERROR(__xludf.DUMMYFUNCTION("""COMPUTED_VALUE"""),"MARCOS LLORENTE")</f>
        <v>MARCOS LLORENTE</v>
      </c>
      <c r="C20" s="24" t="str">
        <f>IFERROR(__xludf.DUMMYFUNCTION("""COMPUTED_VALUE"""),"ATLÉTICO DE MADRID")</f>
        <v>ATLÉTICO DE MADRID</v>
      </c>
      <c r="D20" s="24">
        <f>IFERROR(__xludf.DUMMYFUNCTION("""COMPUTED_VALUE"""),1.0)</f>
        <v>1</v>
      </c>
    </row>
    <row r="21" ht="15.75" customHeight="1">
      <c r="A21" s="24">
        <f>IFERROR(__xludf.DUMMYFUNCTION("""COMPUTED_VALUE"""),42.0)</f>
        <v>42</v>
      </c>
      <c r="B21" s="24" t="str">
        <f>IFERROR(__xludf.DUMMYFUNCTION("""COMPUTED_VALUE"""),"LENGLET")</f>
        <v>LENGLET</v>
      </c>
      <c r="C21" s="24" t="str">
        <f>IFERROR(__xludf.DUMMYFUNCTION("""COMPUTED_VALUE"""),"ATLÉTICO DE MADRID")</f>
        <v>ATLÉTICO DE MADRID</v>
      </c>
      <c r="D21" s="24">
        <f>IFERROR(__xludf.DUMMYFUNCTION("""COMPUTED_VALUE"""),3.0)</f>
        <v>3</v>
      </c>
    </row>
    <row r="22" ht="15.75" customHeight="1">
      <c r="A22" s="24">
        <f>IFERROR(__xludf.DUMMYFUNCTION("""COMPUTED_VALUE"""),43.0)</f>
        <v>43</v>
      </c>
      <c r="B22" s="24" t="str">
        <f>IFERROR(__xludf.DUMMYFUNCTION("""COMPUTED_VALUE"""),"HANCKO")</f>
        <v>HANCKO</v>
      </c>
      <c r="C22" s="24" t="str">
        <f>IFERROR(__xludf.DUMMYFUNCTION("""COMPUTED_VALUE"""),"ATLÉTICO DE MADRID")</f>
        <v>ATLÉTICO DE MADRID</v>
      </c>
      <c r="D22" s="24">
        <f>IFERROR(__xludf.DUMMYFUNCTION("""COMPUTED_VALUE"""),1.0)</f>
        <v>1</v>
      </c>
    </row>
    <row r="23" ht="15.75" customHeight="1">
      <c r="A23" s="24">
        <f>IFERROR(__xludf.DUMMYFUNCTION("""COMPUTED_VALUE"""),46.0)</f>
        <v>46</v>
      </c>
      <c r="B23" s="24" t="str">
        <f>IFERROR(__xludf.DUMMYFUNCTION("""COMPUTED_VALUE"""),"BARRIOS")</f>
        <v>BARRIOS</v>
      </c>
      <c r="C23" s="24" t="str">
        <f>IFERROR(__xludf.DUMMYFUNCTION("""COMPUTED_VALUE"""),"ATLÉTICO DE MADRID")</f>
        <v>ATLÉTICO DE MADRID</v>
      </c>
      <c r="D23" s="24">
        <f>IFERROR(__xludf.DUMMYFUNCTION("""COMPUTED_VALUE"""),1.0)</f>
        <v>1</v>
      </c>
    </row>
    <row r="24" ht="15.75" customHeight="1">
      <c r="A24" s="24">
        <f>IFERROR(__xludf.DUMMYFUNCTION("""COMPUTED_VALUE"""),48.0)</f>
        <v>48</v>
      </c>
      <c r="B24" s="24" t="str">
        <f>IFERROR(__xludf.DUMMYFUNCTION("""COMPUTED_VALUE"""),"ALEX BAENA")</f>
        <v>ALEX BAENA</v>
      </c>
      <c r="C24" s="24" t="str">
        <f>IFERROR(__xludf.DUMMYFUNCTION("""COMPUTED_VALUE"""),"ATLÉTICO DE MADRID")</f>
        <v>ATLÉTICO DE MADRID</v>
      </c>
      <c r="D24" s="24">
        <f>IFERROR(__xludf.DUMMYFUNCTION("""COMPUTED_VALUE"""),1.0)</f>
        <v>1</v>
      </c>
    </row>
    <row r="25" ht="15.75" customHeight="1">
      <c r="A25" s="24">
        <f>IFERROR(__xludf.DUMMYFUNCTION("""COMPUTED_VALUE"""),49.0)</f>
        <v>49</v>
      </c>
      <c r="B25" s="24" t="str">
        <f>IFERROR(__xludf.DUMMYFUNCTION("""COMPUTED_VALUE"""),"ALMADA")</f>
        <v>ALMADA</v>
      </c>
      <c r="C25" s="24" t="str">
        <f>IFERROR(__xludf.DUMMYFUNCTION("""COMPUTED_VALUE"""),"ATLÉTICO DE MADRID")</f>
        <v>ATLÉTICO DE MADRID</v>
      </c>
      <c r="D25" s="24">
        <f>IFERROR(__xludf.DUMMYFUNCTION("""COMPUTED_VALUE"""),2.0)</f>
        <v>2</v>
      </c>
    </row>
    <row r="26" ht="15.75" customHeight="1">
      <c r="A26" s="24">
        <f>IFERROR(__xludf.DUMMYFUNCTION("""COMPUTED_VALUE"""),52.0)</f>
        <v>52</v>
      </c>
      <c r="B26" s="24" t="str">
        <f>IFERROR(__xludf.DUMMYFUNCTION("""COMPUTED_VALUE"""),"JULIÁN ALVAREZ")</f>
        <v>JULIÁN ALVAREZ</v>
      </c>
      <c r="C26" s="24" t="str">
        <f>IFERROR(__xludf.DUMMYFUNCTION("""COMPUTED_VALUE"""),"ATLÉTICO DE MADRID")</f>
        <v>ATLÉTICO DE MADRID</v>
      </c>
      <c r="D26" s="24">
        <f>IFERROR(__xludf.DUMMYFUNCTION("""COMPUTED_VALUE"""),1.0)</f>
        <v>1</v>
      </c>
    </row>
    <row r="27" ht="15.75" customHeight="1">
      <c r="A27" s="24">
        <f>IFERROR(__xludf.DUMMYFUNCTION("""COMPUTED_VALUE"""),55.0)</f>
        <v>55</v>
      </c>
      <c r="B27" s="24" t="str">
        <f>IFERROR(__xludf.DUMMYFUNCTION("""COMPUTED_VALUE"""),"ESCUDO")</f>
        <v>ESCUDO</v>
      </c>
      <c r="C27" s="24" t="str">
        <f>IFERROR(__xludf.DUMMYFUNCTION("""COMPUTED_VALUE"""),"FC BARCELONA")</f>
        <v>FC BARCELONA</v>
      </c>
      <c r="D27" s="24">
        <f>IFERROR(__xludf.DUMMYFUNCTION("""COMPUTED_VALUE"""),1.0)</f>
        <v>1</v>
      </c>
    </row>
    <row r="28" ht="15.75" customHeight="1">
      <c r="A28" s="24">
        <f>IFERROR(__xludf.DUMMYFUNCTION("""COMPUTED_VALUE"""),60.0)</f>
        <v>60</v>
      </c>
      <c r="B28" s="24" t="str">
        <f>IFERROR(__xludf.DUMMYFUNCTION("""COMPUTED_VALUE"""),"ERIC GARCÍA")</f>
        <v>ERIC GARCÍA</v>
      </c>
      <c r="C28" s="24" t="str">
        <f>IFERROR(__xludf.DUMMYFUNCTION("""COMPUTED_VALUE"""),"FC BARCELONA")</f>
        <v>FC BARCELONA</v>
      </c>
      <c r="D28" s="24">
        <f>IFERROR(__xludf.DUMMYFUNCTION("""COMPUTED_VALUE"""),1.0)</f>
        <v>1</v>
      </c>
    </row>
    <row r="29" ht="15.75" customHeight="1">
      <c r="A29" s="24">
        <f>IFERROR(__xludf.DUMMYFUNCTION("""COMPUTED_VALUE"""),61.0)</f>
        <v>61</v>
      </c>
      <c r="B29" s="24" t="str">
        <f>IFERROR(__xludf.DUMMYFUNCTION("""COMPUTED_VALUE"""),"ARAÚJO")</f>
        <v>ARAÚJO</v>
      </c>
      <c r="C29" s="24" t="str">
        <f>IFERROR(__xludf.DUMMYFUNCTION("""COMPUTED_VALUE"""),"FC BARCELONA")</f>
        <v>FC BARCELONA</v>
      </c>
      <c r="D29" s="24">
        <f>IFERROR(__xludf.DUMMYFUNCTION("""COMPUTED_VALUE"""),1.0)</f>
        <v>1</v>
      </c>
    </row>
    <row r="30" ht="15.75" customHeight="1">
      <c r="A30" s="24">
        <f>IFERROR(__xludf.DUMMYFUNCTION("""COMPUTED_VALUE"""),62.0)</f>
        <v>62</v>
      </c>
      <c r="B30" s="24" t="str">
        <f>IFERROR(__xludf.DUMMYFUNCTION("""COMPUTED_VALUE"""),"BALDE")</f>
        <v>BALDE</v>
      </c>
      <c r="C30" s="24" t="str">
        <f>IFERROR(__xludf.DUMMYFUNCTION("""COMPUTED_VALUE"""),"FC BARCELONA")</f>
        <v>FC BARCELONA</v>
      </c>
      <c r="D30" s="24">
        <f>IFERROR(__xludf.DUMMYFUNCTION("""COMPUTED_VALUE"""),1.0)</f>
        <v>1</v>
      </c>
    </row>
    <row r="31" ht="15.75" customHeight="1">
      <c r="A31" s="24">
        <f>IFERROR(__xludf.DUMMYFUNCTION("""COMPUTED_VALUE"""),63.0)</f>
        <v>63</v>
      </c>
      <c r="B31" s="24" t="str">
        <f>IFERROR(__xludf.DUMMYFUNCTION("""COMPUTED_VALUE"""),"DE JONG")</f>
        <v>DE JONG</v>
      </c>
      <c r="C31" s="24" t="str">
        <f>IFERROR(__xludf.DUMMYFUNCTION("""COMPUTED_VALUE"""),"FC BARCELONA")</f>
        <v>FC BARCELONA</v>
      </c>
      <c r="D31" s="24">
        <f>IFERROR(__xludf.DUMMYFUNCTION("""COMPUTED_VALUE"""),1.0)</f>
        <v>1</v>
      </c>
    </row>
    <row r="32" ht="15.75" customHeight="1">
      <c r="A32" s="24">
        <f>IFERROR(__xludf.DUMMYFUNCTION("""COMPUTED_VALUE"""),65.0)</f>
        <v>65</v>
      </c>
      <c r="B32" s="24" t="str">
        <f>IFERROR(__xludf.DUMMYFUNCTION("""COMPUTED_VALUE"""),"PEDRI")</f>
        <v>PEDRI</v>
      </c>
      <c r="C32" s="24" t="str">
        <f>IFERROR(__xludf.DUMMYFUNCTION("""COMPUTED_VALUE"""),"FC BARCELONA")</f>
        <v>FC BARCELONA</v>
      </c>
      <c r="D32" s="24">
        <f>IFERROR(__xludf.DUMMYFUNCTION("""COMPUTED_VALUE"""),1.0)</f>
        <v>1</v>
      </c>
    </row>
    <row r="33" ht="15.75" customHeight="1">
      <c r="A33" s="24">
        <f>IFERROR(__xludf.DUMMYFUNCTION("""COMPUTED_VALUE"""),66.0)</f>
        <v>66</v>
      </c>
      <c r="B33" s="24" t="str">
        <f>IFERROR(__xludf.DUMMYFUNCTION("""COMPUTED_VALUE"""),"FERMÍN")</f>
        <v>FERMÍN</v>
      </c>
      <c r="C33" s="24" t="str">
        <f>IFERROR(__xludf.DUMMYFUNCTION("""COMPUTED_VALUE"""),"FC BARCELONA")</f>
        <v>FC BARCELONA</v>
      </c>
      <c r="D33" s="24">
        <f>IFERROR(__xludf.DUMMYFUNCTION("""COMPUTED_VALUE"""),1.0)</f>
        <v>1</v>
      </c>
    </row>
    <row r="34" ht="15.75" customHeight="1">
      <c r="A34" s="24">
        <f>IFERROR(__xludf.DUMMYFUNCTION("""COMPUTED_VALUE"""),67.0)</f>
        <v>67</v>
      </c>
      <c r="B34" s="24" t="str">
        <f>IFERROR(__xludf.DUMMYFUNCTION("""COMPUTED_VALUE"""),"DANI OLMO")</f>
        <v>DANI OLMO</v>
      </c>
      <c r="C34" s="24" t="str">
        <f>IFERROR(__xludf.DUMMYFUNCTION("""COMPUTED_VALUE"""),"FC BARCELONA")</f>
        <v>FC BARCELONA</v>
      </c>
      <c r="D34" s="24">
        <f>IFERROR(__xludf.DUMMYFUNCTION("""COMPUTED_VALUE"""),2.0)</f>
        <v>2</v>
      </c>
    </row>
    <row r="35" ht="15.75" customHeight="1">
      <c r="A35" s="24">
        <f>IFERROR(__xludf.DUMMYFUNCTION("""COMPUTED_VALUE"""),72.0)</f>
        <v>72</v>
      </c>
      <c r="B35" s="24" t="str">
        <f>IFERROR(__xludf.DUMMYFUNCTION("""COMPUTED_VALUE"""),"RASHFORD")</f>
        <v>RASHFORD</v>
      </c>
      <c r="C35" s="24" t="str">
        <f>IFERROR(__xludf.DUMMYFUNCTION("""COMPUTED_VALUE"""),"FC BARCELONA")</f>
        <v>FC BARCELONA</v>
      </c>
      <c r="D35" s="24">
        <f>IFERROR(__xludf.DUMMYFUNCTION("""COMPUTED_VALUE"""),1.0)</f>
        <v>1</v>
      </c>
    </row>
    <row r="36" ht="15.75" customHeight="1">
      <c r="A36" s="24">
        <f>IFERROR(__xludf.DUMMYFUNCTION("""COMPUTED_VALUE"""),73.0)</f>
        <v>73</v>
      </c>
      <c r="B36" s="24" t="str">
        <f>IFERROR(__xludf.DUMMYFUNCTION("""COMPUTED_VALUE"""),"ESCUDO")</f>
        <v>ESCUDO</v>
      </c>
      <c r="C36" s="24" t="str">
        <f>IFERROR(__xludf.DUMMYFUNCTION("""COMPUTED_VALUE"""),"REAL BETIS")</f>
        <v>REAL BETIS</v>
      </c>
      <c r="D36" s="24">
        <f>IFERROR(__xludf.DUMMYFUNCTION("""COMPUTED_VALUE"""),1.0)</f>
        <v>1</v>
      </c>
    </row>
    <row r="37" ht="15.75" customHeight="1">
      <c r="A37" s="24">
        <f>IFERROR(__xludf.DUMMYFUNCTION("""COMPUTED_VALUE"""),74.0)</f>
        <v>74</v>
      </c>
      <c r="B37" s="24" t="str">
        <f>IFERROR(__xludf.DUMMYFUNCTION("""COMPUTED_VALUE"""),"PAU LÓPEZ")</f>
        <v>PAU LÓPEZ</v>
      </c>
      <c r="C37" s="24" t="str">
        <f>IFERROR(__xludf.DUMMYFUNCTION("""COMPUTED_VALUE"""),"REAL BETIS")</f>
        <v>REAL BETIS</v>
      </c>
      <c r="D37" s="24">
        <f>IFERROR(__xludf.DUMMYFUNCTION("""COMPUTED_VALUE"""),2.0)</f>
        <v>2</v>
      </c>
    </row>
    <row r="38" ht="15.75" customHeight="1">
      <c r="A38" s="24">
        <f>IFERROR(__xludf.DUMMYFUNCTION("""COMPUTED_VALUE"""),75.0)</f>
        <v>75</v>
      </c>
      <c r="B38" s="24" t="str">
        <f>IFERROR(__xludf.DUMMYFUNCTION("""COMPUTED_VALUE"""),"VALLES")</f>
        <v>VALLES</v>
      </c>
      <c r="C38" s="24" t="str">
        <f>IFERROR(__xludf.DUMMYFUNCTION("""COMPUTED_VALUE"""),"REAL BETIS")</f>
        <v>REAL BETIS</v>
      </c>
      <c r="D38" s="24">
        <f>IFERROR(__xludf.DUMMYFUNCTION("""COMPUTED_VALUE"""),1.0)</f>
        <v>1</v>
      </c>
    </row>
    <row r="39" ht="15.75" customHeight="1">
      <c r="A39" s="24">
        <f>IFERROR(__xludf.DUMMYFUNCTION("""COMPUTED_VALUE"""),76.0)</f>
        <v>76</v>
      </c>
      <c r="B39" s="24" t="str">
        <f>IFERROR(__xludf.DUMMYFUNCTION("""COMPUTED_VALUE"""),"BELLERÍN")</f>
        <v>BELLERÍN</v>
      </c>
      <c r="C39" s="24" t="str">
        <f>IFERROR(__xludf.DUMMYFUNCTION("""COMPUTED_VALUE"""),"REAL BETIS")</f>
        <v>REAL BETIS</v>
      </c>
      <c r="D39" s="24">
        <f>IFERROR(__xludf.DUMMYFUNCTION("""COMPUTED_VALUE"""),1.0)</f>
        <v>1</v>
      </c>
    </row>
    <row r="40" ht="15.75" customHeight="1">
      <c r="A40" s="24">
        <f>IFERROR(__xludf.DUMMYFUNCTION("""COMPUTED_VALUE"""),79.0)</f>
        <v>79</v>
      </c>
      <c r="B40" s="24" t="str">
        <f>IFERROR(__xludf.DUMMYFUNCTION("""COMPUTED_VALUE"""),"NATAN")</f>
        <v>NATAN</v>
      </c>
      <c r="C40" s="24" t="str">
        <f>IFERROR(__xludf.DUMMYFUNCTION("""COMPUTED_VALUE"""),"REAL BETIS")</f>
        <v>REAL BETIS</v>
      </c>
      <c r="D40" s="24">
        <f>IFERROR(__xludf.DUMMYFUNCTION("""COMPUTED_VALUE"""),1.0)</f>
        <v>1</v>
      </c>
    </row>
    <row r="41" ht="15.75" customHeight="1">
      <c r="A41" s="24">
        <f>IFERROR(__xludf.DUMMYFUNCTION("""COMPUTED_VALUE"""),80.0)</f>
        <v>80</v>
      </c>
      <c r="B41" s="24" t="str">
        <f>IFERROR(__xludf.DUMMYFUNCTION("""COMPUTED_VALUE"""),"VALENTÍN GÓMEZ")</f>
        <v>VALENTÍN GÓMEZ</v>
      </c>
      <c r="C41" s="24" t="str">
        <f>IFERROR(__xludf.DUMMYFUNCTION("""COMPUTED_VALUE"""),"REAL BETIS")</f>
        <v>REAL BETIS</v>
      </c>
      <c r="D41" s="24">
        <f>IFERROR(__xludf.DUMMYFUNCTION("""COMPUTED_VALUE"""),1.0)</f>
        <v>1</v>
      </c>
    </row>
    <row r="42" ht="15.75" customHeight="1">
      <c r="A42" s="24">
        <f>IFERROR(__xludf.DUMMYFUNCTION("""COMPUTED_VALUE"""),81.0)</f>
        <v>81</v>
      </c>
      <c r="B42" s="24" t="str">
        <f>IFERROR(__xludf.DUMMYFUNCTION("""COMPUTED_VALUE"""),"JUNIOR")</f>
        <v>JUNIOR</v>
      </c>
      <c r="C42" s="24" t="str">
        <f>IFERROR(__xludf.DUMMYFUNCTION("""COMPUTED_VALUE"""),"REAL BETIS")</f>
        <v>REAL BETIS</v>
      </c>
      <c r="D42" s="24">
        <f>IFERROR(__xludf.DUMMYFUNCTION("""COMPUTED_VALUE"""),2.0)</f>
        <v>2</v>
      </c>
    </row>
    <row r="43" ht="15.75" customHeight="1">
      <c r="A43" s="24">
        <f>IFERROR(__xludf.DUMMYFUNCTION("""COMPUTED_VALUE"""),84.0)</f>
        <v>84</v>
      </c>
      <c r="B43" s="24" t="str">
        <f>IFERROR(__xludf.DUMMYFUNCTION("""COMPUTED_VALUE"""),"PABLO FORNALS")</f>
        <v>PABLO FORNALS</v>
      </c>
      <c r="C43" s="24" t="str">
        <f>IFERROR(__xludf.DUMMYFUNCTION("""COMPUTED_VALUE"""),"REAL BETIS")</f>
        <v>REAL BETIS</v>
      </c>
      <c r="D43" s="24">
        <f>IFERROR(__xludf.DUMMYFUNCTION("""COMPUTED_VALUE"""),1.0)</f>
        <v>1</v>
      </c>
    </row>
    <row r="44" ht="15.75" customHeight="1">
      <c r="A44" s="24">
        <f>IFERROR(__xludf.DUMMYFUNCTION("""COMPUTED_VALUE"""),88.0)</f>
        <v>88</v>
      </c>
      <c r="B44" s="24" t="str">
        <f>IFERROR(__xludf.DUMMYFUNCTION("""COMPUTED_VALUE"""),"CUCHO HERNÁNDEZ")</f>
        <v>CUCHO HERNÁNDEZ</v>
      </c>
      <c r="C44" s="24" t="str">
        <f>IFERROR(__xludf.DUMMYFUNCTION("""COMPUTED_VALUE"""),"REAL BETIS")</f>
        <v>REAL BETIS</v>
      </c>
      <c r="D44" s="24">
        <f>IFERROR(__xludf.DUMMYFUNCTION("""COMPUTED_VALUE"""),2.0)</f>
        <v>2</v>
      </c>
    </row>
    <row r="45" ht="15.75" customHeight="1">
      <c r="A45" s="24">
        <f>IFERROR(__xludf.DUMMYFUNCTION("""COMPUTED_VALUE"""),91.0)</f>
        <v>91</v>
      </c>
      <c r="B45" s="24" t="str">
        <f>IFERROR(__xludf.DUMMYFUNCTION("""COMPUTED_VALUE"""),"ESCUDO")</f>
        <v>ESCUDO</v>
      </c>
      <c r="C45" s="24" t="str">
        <f>IFERROR(__xludf.DUMMYFUNCTION("""COMPUTED_VALUE"""),"RC CELTA")</f>
        <v>RC CELTA</v>
      </c>
      <c r="D45" s="24">
        <f>IFERROR(__xludf.DUMMYFUNCTION("""COMPUTED_VALUE"""),1.0)</f>
        <v>1</v>
      </c>
    </row>
    <row r="46" ht="15.75" customHeight="1">
      <c r="A46" s="24">
        <f>IFERROR(__xludf.DUMMYFUNCTION("""COMPUTED_VALUE"""),93.0)</f>
        <v>93</v>
      </c>
      <c r="B46" s="24" t="str">
        <f>IFERROR(__xludf.DUMMYFUNCTION("""COMPUTED_VALUE"""),"IVÁN VILLAR")</f>
        <v>IVÁN VILLAR</v>
      </c>
      <c r="C46" s="24" t="str">
        <f>IFERROR(__xludf.DUMMYFUNCTION("""COMPUTED_VALUE"""),"RC CELTA")</f>
        <v>RC CELTA</v>
      </c>
      <c r="D46" s="24">
        <f>IFERROR(__xludf.DUMMYFUNCTION("""COMPUTED_VALUE"""),2.0)</f>
        <v>2</v>
      </c>
    </row>
    <row r="47" ht="15.75" customHeight="1">
      <c r="A47" s="24">
        <f>IFERROR(__xludf.DUMMYFUNCTION("""COMPUTED_VALUE"""),95.0)</f>
        <v>95</v>
      </c>
      <c r="B47" s="24" t="str">
        <f>IFERROR(__xludf.DUMMYFUNCTION("""COMPUTED_VALUE"""),"JAVI RODRÍGUEZ")</f>
        <v>JAVI RODRÍGUEZ</v>
      </c>
      <c r="C47" s="24" t="str">
        <f>IFERROR(__xludf.DUMMYFUNCTION("""COMPUTED_VALUE"""),"RC CELTA")</f>
        <v>RC CELTA</v>
      </c>
      <c r="D47" s="24">
        <f>IFERROR(__xludf.DUMMYFUNCTION("""COMPUTED_VALUE"""),1.0)</f>
        <v>1</v>
      </c>
    </row>
    <row r="48" ht="15.75" customHeight="1">
      <c r="A48" s="24">
        <f>IFERROR(__xludf.DUMMYFUNCTION("""COMPUTED_VALUE"""),97.0)</f>
        <v>97</v>
      </c>
      <c r="B48" s="24" t="str">
        <f>IFERROR(__xludf.DUMMYFUNCTION("""COMPUTED_VALUE"""),"MARCOS ALONSO")</f>
        <v>MARCOS ALONSO</v>
      </c>
      <c r="C48" s="24" t="str">
        <f>IFERROR(__xludf.DUMMYFUNCTION("""COMPUTED_VALUE"""),"RC CELTA")</f>
        <v>RC CELTA</v>
      </c>
      <c r="D48" s="24">
        <f>IFERROR(__xludf.DUMMYFUNCTION("""COMPUTED_VALUE"""),1.0)</f>
        <v>1</v>
      </c>
    </row>
    <row r="49" ht="15.75" customHeight="1">
      <c r="A49" s="24">
        <f>IFERROR(__xludf.DUMMYFUNCTION("""COMPUTED_VALUE"""),100.0)</f>
        <v>100</v>
      </c>
      <c r="B49" s="24" t="str">
        <f>IFERROR(__xludf.DUMMYFUNCTION("""COMPUTED_VALUE"""),"ILAIX MORIBA")</f>
        <v>ILAIX MORIBA</v>
      </c>
      <c r="C49" s="24" t="str">
        <f>IFERROR(__xludf.DUMMYFUNCTION("""COMPUTED_VALUE"""),"RC CELTA")</f>
        <v>RC CELTA</v>
      </c>
      <c r="D49" s="24">
        <f>IFERROR(__xludf.DUMMYFUNCTION("""COMPUTED_VALUE"""),1.0)</f>
        <v>1</v>
      </c>
    </row>
    <row r="50" ht="15.75" customHeight="1">
      <c r="A50" s="24">
        <f>IFERROR(__xludf.DUMMYFUNCTION("""COMPUTED_VALUE"""),102.0)</f>
        <v>102</v>
      </c>
      <c r="B50" s="24" t="str">
        <f>IFERROR(__xludf.DUMMYFUNCTION("""COMPUTED_VALUE"""),"SOTELO")</f>
        <v>SOTELO</v>
      </c>
      <c r="C50" s="24" t="str">
        <f>IFERROR(__xludf.DUMMYFUNCTION("""COMPUTED_VALUE"""),"RC CELTA")</f>
        <v>RC CELTA</v>
      </c>
      <c r="D50" s="24">
        <f>IFERROR(__xludf.DUMMYFUNCTION("""COMPUTED_VALUE"""),1.0)</f>
        <v>1</v>
      </c>
    </row>
    <row r="51" ht="15.75" customHeight="1">
      <c r="A51" s="24">
        <f>IFERROR(__xludf.DUMMYFUNCTION("""COMPUTED_VALUE"""),103.0)</f>
        <v>103</v>
      </c>
      <c r="B51" s="24" t="str">
        <f>IFERROR(__xludf.DUMMYFUNCTION("""COMPUTED_VALUE"""),"HUGO ÁLVAREZ")</f>
        <v>HUGO ÁLVAREZ</v>
      </c>
      <c r="C51" s="24" t="str">
        <f>IFERROR(__xludf.DUMMYFUNCTION("""COMPUTED_VALUE"""),"RC CELTA")</f>
        <v>RC CELTA</v>
      </c>
      <c r="D51" s="24">
        <f>IFERROR(__xludf.DUMMYFUNCTION("""COMPUTED_VALUE"""),2.0)</f>
        <v>2</v>
      </c>
    </row>
    <row r="52" ht="15.75" customHeight="1">
      <c r="A52" s="24">
        <f>IFERROR(__xludf.DUMMYFUNCTION("""COMPUTED_VALUE"""),104.0)</f>
        <v>104</v>
      </c>
      <c r="B52" s="24" t="str">
        <f>IFERROR(__xludf.DUMMYFUNCTION("""COMPUTED_VALUE"""),"SWEDBERG")</f>
        <v>SWEDBERG</v>
      </c>
      <c r="C52" s="24" t="str">
        <f>IFERROR(__xludf.DUMMYFUNCTION("""COMPUTED_VALUE"""),"RC CELTA")</f>
        <v>RC CELTA</v>
      </c>
      <c r="D52" s="24">
        <f>IFERROR(__xludf.DUMMYFUNCTION("""COMPUTED_VALUE"""),4.0)</f>
        <v>4</v>
      </c>
    </row>
    <row r="53" ht="15.75" customHeight="1">
      <c r="A53" s="24">
        <f>IFERROR(__xludf.DUMMYFUNCTION("""COMPUTED_VALUE"""),105.0)</f>
        <v>105</v>
      </c>
      <c r="B53" s="24" t="str">
        <f>IFERROR(__xludf.DUMMYFUNCTION("""COMPUTED_VALUE"""),"BRYAN ZARAGOZA")</f>
        <v>BRYAN ZARAGOZA</v>
      </c>
      <c r="C53" s="24" t="str">
        <f>IFERROR(__xludf.DUMMYFUNCTION("""COMPUTED_VALUE"""),"RC CELTA")</f>
        <v>RC CELTA</v>
      </c>
      <c r="D53" s="24">
        <f>IFERROR(__xludf.DUMMYFUNCTION("""COMPUTED_VALUE"""),1.0)</f>
        <v>1</v>
      </c>
    </row>
    <row r="54" ht="15.75" customHeight="1">
      <c r="A54" s="24">
        <f>IFERROR(__xludf.DUMMYFUNCTION("""COMPUTED_VALUE"""),106.0)</f>
        <v>106</v>
      </c>
      <c r="B54" s="24" t="str">
        <f>IFERROR(__xludf.DUMMYFUNCTION("""COMPUTED_VALUE"""),"IAGO ASPAS")</f>
        <v>IAGO ASPAS</v>
      </c>
      <c r="C54" s="24" t="str">
        <f>IFERROR(__xludf.DUMMYFUNCTION("""COMPUTED_VALUE"""),"RC CELTA")</f>
        <v>RC CELTA</v>
      </c>
      <c r="D54" s="24">
        <f>IFERROR(__xludf.DUMMYFUNCTION("""COMPUTED_VALUE"""),1.0)</f>
        <v>1</v>
      </c>
    </row>
    <row r="55" ht="15.75" customHeight="1">
      <c r="A55" s="24">
        <f>IFERROR(__xludf.DUMMYFUNCTION("""COMPUTED_VALUE"""),108.0)</f>
        <v>108</v>
      </c>
      <c r="B55" s="24" t="str">
        <f>IFERROR(__xludf.DUMMYFUNCTION("""COMPUTED_VALUE"""),"JUTGLÀ")</f>
        <v>JUTGLÀ</v>
      </c>
      <c r="C55" s="24" t="str">
        <f>IFERROR(__xludf.DUMMYFUNCTION("""COMPUTED_VALUE"""),"RC CELTA")</f>
        <v>RC CELTA</v>
      </c>
      <c r="D55" s="24">
        <f>IFERROR(__xludf.DUMMYFUNCTION("""COMPUTED_VALUE"""),2.0)</f>
        <v>2</v>
      </c>
    </row>
    <row r="56" ht="15.75" customHeight="1">
      <c r="A56" s="24">
        <f>IFERROR(__xludf.DUMMYFUNCTION("""COMPUTED_VALUE"""),110.0)</f>
        <v>110</v>
      </c>
      <c r="B56" s="24" t="str">
        <f>IFERROR(__xludf.DUMMYFUNCTION("""COMPUTED_VALUE"""),"IÑAKI PEÑA")</f>
        <v>IÑAKI PEÑA</v>
      </c>
      <c r="C56" s="24" t="str">
        <f>IFERROR(__xludf.DUMMYFUNCTION("""COMPUTED_VALUE"""),"ELCHE CF")</f>
        <v>ELCHE CF</v>
      </c>
      <c r="D56" s="24">
        <f>IFERROR(__xludf.DUMMYFUNCTION("""COMPUTED_VALUE"""),2.0)</f>
        <v>2</v>
      </c>
    </row>
    <row r="57" ht="15.75" customHeight="1">
      <c r="A57" s="24">
        <f>IFERROR(__xludf.DUMMYFUNCTION("""COMPUTED_VALUE"""),111.0)</f>
        <v>111</v>
      </c>
      <c r="B57" s="24" t="str">
        <f>IFERROR(__xludf.DUMMYFUNCTION("""COMPUTED_VALUE"""),"DITURO")</f>
        <v>DITURO</v>
      </c>
      <c r="C57" s="24" t="str">
        <f>IFERROR(__xludf.DUMMYFUNCTION("""COMPUTED_VALUE"""),"ELCHE CF")</f>
        <v>ELCHE CF</v>
      </c>
      <c r="D57" s="24">
        <f>IFERROR(__xludf.DUMMYFUNCTION("""COMPUTED_VALUE"""),3.0)</f>
        <v>3</v>
      </c>
    </row>
    <row r="58" ht="15.75" customHeight="1">
      <c r="A58" s="24">
        <f>IFERROR(__xludf.DUMMYFUNCTION("""COMPUTED_VALUE"""),112.0)</f>
        <v>112</v>
      </c>
      <c r="B58" s="24" t="str">
        <f>IFERROR(__xludf.DUMMYFUNCTION("""COMPUTED_VALUE"""),"ÁLVARO NÚÑEZ")</f>
        <v>ÁLVARO NÚÑEZ</v>
      </c>
      <c r="C58" s="24" t="str">
        <f>IFERROR(__xludf.DUMMYFUNCTION("""COMPUTED_VALUE"""),"ELCHE CF")</f>
        <v>ELCHE CF</v>
      </c>
      <c r="D58" s="24">
        <f>IFERROR(__xludf.DUMMYFUNCTION("""COMPUTED_VALUE"""),1.0)</f>
        <v>1</v>
      </c>
    </row>
    <row r="59" ht="15.75" customHeight="1">
      <c r="A59" s="24">
        <f>IFERROR(__xludf.DUMMYFUNCTION("""COMPUTED_VALUE"""),115.0)</f>
        <v>115</v>
      </c>
      <c r="B59" s="24" t="str">
        <f>IFERROR(__xludf.DUMMYFUNCTION("""COMPUTED_VALUE"""),"AFFENGRUBER")</f>
        <v>AFFENGRUBER</v>
      </c>
      <c r="C59" s="24" t="str">
        <f>IFERROR(__xludf.DUMMYFUNCTION("""COMPUTED_VALUE"""),"ELCHE CF")</f>
        <v>ELCHE CF</v>
      </c>
      <c r="D59" s="24">
        <f>IFERROR(__xludf.DUMMYFUNCTION("""COMPUTED_VALUE"""),1.0)</f>
        <v>1</v>
      </c>
    </row>
    <row r="60" ht="15.75" customHeight="1">
      <c r="A60" s="24">
        <f>IFERROR(__xludf.DUMMYFUNCTION("""COMPUTED_VALUE"""),116.0)</f>
        <v>116</v>
      </c>
      <c r="B60" s="24" t="str">
        <f>IFERROR(__xludf.DUMMYFUNCTION("""COMPUTED_VALUE"""),"PEDROSA")</f>
        <v>PEDROSA</v>
      </c>
      <c r="C60" s="24" t="str">
        <f>IFERROR(__xludf.DUMMYFUNCTION("""COMPUTED_VALUE"""),"ELCHE CF")</f>
        <v>ELCHE CF</v>
      </c>
      <c r="D60" s="24">
        <f>IFERROR(__xludf.DUMMYFUNCTION("""COMPUTED_VALUE"""),1.0)</f>
        <v>1</v>
      </c>
    </row>
    <row r="61" ht="15.75" customHeight="1">
      <c r="A61" s="24">
        <f>IFERROR(__xludf.DUMMYFUNCTION("""COMPUTED_VALUE"""),121.0)</f>
        <v>121</v>
      </c>
      <c r="B61" s="24" t="str">
        <f>IFERROR(__xludf.DUMMYFUNCTION("""COMPUTED_VALUE"""),"MARC AGUADO")</f>
        <v>MARC AGUADO</v>
      </c>
      <c r="C61" s="24" t="str">
        <f>IFERROR(__xludf.DUMMYFUNCTION("""COMPUTED_VALUE"""),"ELCHE CF")</f>
        <v>ELCHE CF</v>
      </c>
      <c r="D61" s="24">
        <f>IFERROR(__xludf.DUMMYFUNCTION("""COMPUTED_VALUE"""),2.0)</f>
        <v>2</v>
      </c>
    </row>
    <row r="62" ht="15.75" customHeight="1">
      <c r="A62" s="24">
        <f>IFERROR(__xludf.DUMMYFUNCTION("""COMPUTED_VALUE"""),124.0)</f>
        <v>124</v>
      </c>
      <c r="B62" s="24" t="str">
        <f>IFERROR(__xludf.DUMMYFUNCTION("""COMPUTED_VALUE"""),"ÁLVARO RODRÍGUEZ")</f>
        <v>ÁLVARO RODRÍGUEZ</v>
      </c>
      <c r="C62" s="24" t="str">
        <f>IFERROR(__xludf.DUMMYFUNCTION("""COMPUTED_VALUE"""),"ELCHE CF")</f>
        <v>ELCHE CF</v>
      </c>
      <c r="D62" s="24">
        <f>IFERROR(__xludf.DUMMYFUNCTION("""COMPUTED_VALUE"""),1.0)</f>
        <v>1</v>
      </c>
    </row>
    <row r="63" ht="15.75" customHeight="1">
      <c r="A63" s="24">
        <f>IFERROR(__xludf.DUMMYFUNCTION("""COMPUTED_VALUE"""),125.0)</f>
        <v>125</v>
      </c>
      <c r="B63" s="24" t="str">
        <f>IFERROR(__xludf.DUMMYFUNCTION("""COMPUTED_VALUE"""),"ANDRÉ SILVA")</f>
        <v>ANDRÉ SILVA</v>
      </c>
      <c r="C63" s="24" t="str">
        <f>IFERROR(__xludf.DUMMYFUNCTION("""COMPUTED_VALUE"""),"ELCHE CF")</f>
        <v>ELCHE CF</v>
      </c>
      <c r="D63" s="24">
        <f>IFERROR(__xludf.DUMMYFUNCTION("""COMPUTED_VALUE"""),1.0)</f>
        <v>1</v>
      </c>
    </row>
    <row r="64" ht="15.75" customHeight="1">
      <c r="A64" s="24">
        <f>IFERROR(__xludf.DUMMYFUNCTION("""COMPUTED_VALUE"""),126.0)</f>
        <v>126</v>
      </c>
      <c r="B64" s="24" t="str">
        <f>IFERROR(__xludf.DUMMYFUNCTION("""COMPUTED_VALUE"""),"RAFA MIR")</f>
        <v>RAFA MIR</v>
      </c>
      <c r="C64" s="24" t="str">
        <f>IFERROR(__xludf.DUMMYFUNCTION("""COMPUTED_VALUE"""),"ELCHE CF")</f>
        <v>ELCHE CF</v>
      </c>
      <c r="D64" s="24">
        <f>IFERROR(__xludf.DUMMYFUNCTION("""COMPUTED_VALUE"""),1.0)</f>
        <v>1</v>
      </c>
    </row>
    <row r="65" ht="15.75" customHeight="1">
      <c r="A65" s="24">
        <f>IFERROR(__xludf.DUMMYFUNCTION("""COMPUTED_VALUE"""),127.0)</f>
        <v>127</v>
      </c>
      <c r="B65" s="24" t="str">
        <f>IFERROR(__xludf.DUMMYFUNCTION("""COMPUTED_VALUE"""),"ESCUDO")</f>
        <v>ESCUDO</v>
      </c>
      <c r="C65" s="24" t="str">
        <f>IFERROR(__xludf.DUMMYFUNCTION("""COMPUTED_VALUE"""),"RCD ESPANYOL")</f>
        <v>RCD ESPANYOL</v>
      </c>
      <c r="D65" s="24">
        <f>IFERROR(__xludf.DUMMYFUNCTION("""COMPUTED_VALUE"""),1.0)</f>
        <v>1</v>
      </c>
    </row>
    <row r="66" ht="15.75" customHeight="1">
      <c r="A66" s="24">
        <f>IFERROR(__xludf.DUMMYFUNCTION("""COMPUTED_VALUE"""),128.0)</f>
        <v>128</v>
      </c>
      <c r="B66" s="24" t="str">
        <f>IFERROR(__xludf.DUMMYFUNCTION("""COMPUTED_VALUE"""),"DMITROVIC")</f>
        <v>DMITROVIC</v>
      </c>
      <c r="C66" s="24" t="str">
        <f>IFERROR(__xludf.DUMMYFUNCTION("""COMPUTED_VALUE"""),"RCD ESPANYOL")</f>
        <v>RCD ESPANYOL</v>
      </c>
      <c r="D66" s="24">
        <f>IFERROR(__xludf.DUMMYFUNCTION("""COMPUTED_VALUE"""),1.0)</f>
        <v>1</v>
      </c>
    </row>
    <row r="67" ht="15.75" customHeight="1">
      <c r="A67" s="24">
        <f>IFERROR(__xludf.DUMMYFUNCTION("""COMPUTED_VALUE"""),134.0)</f>
        <v>134</v>
      </c>
      <c r="B67" s="24" t="str">
        <f>IFERROR(__xludf.DUMMYFUNCTION("""COMPUTED_VALUE"""),"CARLOS ROMERO")</f>
        <v>CARLOS ROMERO</v>
      </c>
      <c r="C67" s="24" t="str">
        <f>IFERROR(__xludf.DUMMYFUNCTION("""COMPUTED_VALUE"""),"RCD ESPANYOL")</f>
        <v>RCD ESPANYOL</v>
      </c>
      <c r="D67" s="24">
        <f>IFERROR(__xludf.DUMMYFUNCTION("""COMPUTED_VALUE"""),1.0)</f>
        <v>1</v>
      </c>
    </row>
    <row r="68" ht="15.75" customHeight="1">
      <c r="A68" s="24">
        <f>IFERROR(__xludf.DUMMYFUNCTION("""COMPUTED_VALUE"""),137.0)</f>
        <v>137</v>
      </c>
      <c r="B68" s="24" t="str">
        <f>IFERROR(__xludf.DUMMYFUNCTION("""COMPUTED_VALUE"""),"EDU EXPÓSITO")</f>
        <v>EDU EXPÓSITO</v>
      </c>
      <c r="C68" s="24" t="str">
        <f>IFERROR(__xludf.DUMMYFUNCTION("""COMPUTED_VALUE"""),"RCD ESPANYOL")</f>
        <v>RCD ESPANYOL</v>
      </c>
      <c r="D68" s="24">
        <f>IFERROR(__xludf.DUMMYFUNCTION("""COMPUTED_VALUE"""),1.0)</f>
        <v>1</v>
      </c>
    </row>
    <row r="69" ht="15.75" customHeight="1">
      <c r="A69" s="24">
        <f>IFERROR(__xludf.DUMMYFUNCTION("""COMPUTED_VALUE"""),138.0)</f>
        <v>138</v>
      </c>
      <c r="B69" s="24" t="str">
        <f>IFERROR(__xludf.DUMMYFUNCTION("""COMPUTED_VALUE"""),"TERRATS")</f>
        <v>TERRATS</v>
      </c>
      <c r="C69" s="24" t="str">
        <f>IFERROR(__xludf.DUMMYFUNCTION("""COMPUTED_VALUE"""),"RCD ESPANYOL")</f>
        <v>RCD ESPANYOL</v>
      </c>
      <c r="D69" s="24">
        <f>IFERROR(__xludf.DUMMYFUNCTION("""COMPUTED_VALUE"""),2.0)</f>
        <v>2</v>
      </c>
    </row>
    <row r="70" ht="15.75" customHeight="1">
      <c r="A70" s="24">
        <f>IFERROR(__xludf.DUMMYFUNCTION("""COMPUTED_VALUE"""),139.0)</f>
        <v>139</v>
      </c>
      <c r="B70" s="24" t="str">
        <f>IFERROR(__xludf.DUMMYFUNCTION("""COMPUTED_VALUE"""),"ANTONIU ROCA")</f>
        <v>ANTONIU ROCA</v>
      </c>
      <c r="C70" s="24" t="str">
        <f>IFERROR(__xludf.DUMMYFUNCTION("""COMPUTED_VALUE"""),"RCD ESPANYOL")</f>
        <v>RCD ESPANYOL</v>
      </c>
      <c r="D70" s="24">
        <f>IFERROR(__xludf.DUMMYFUNCTION("""COMPUTED_VALUE"""),2.0)</f>
        <v>2</v>
      </c>
    </row>
    <row r="71" ht="15.75" customHeight="1">
      <c r="A71" s="24">
        <f>IFERROR(__xludf.DUMMYFUNCTION("""COMPUTED_VALUE"""),140.0)</f>
        <v>140</v>
      </c>
      <c r="B71" s="24" t="str">
        <f>IFERROR(__xludf.DUMMYFUNCTION("""COMPUTED_VALUE"""),"DOLAN")</f>
        <v>DOLAN</v>
      </c>
      <c r="C71" s="24" t="str">
        <f>IFERROR(__xludf.DUMMYFUNCTION("""COMPUTED_VALUE"""),"RCD ESPANYOL")</f>
        <v>RCD ESPANYOL</v>
      </c>
      <c r="D71" s="24">
        <f>IFERROR(__xludf.DUMMYFUNCTION("""COMPUTED_VALUE"""),2.0)</f>
        <v>2</v>
      </c>
    </row>
    <row r="72" ht="15.75" customHeight="1">
      <c r="A72" s="24">
        <f>IFERROR(__xludf.DUMMYFUNCTION("""COMPUTED_VALUE"""),141.0)</f>
        <v>141</v>
      </c>
      <c r="B72" s="24" t="str">
        <f>IFERROR(__xludf.DUMMYFUNCTION("""COMPUTED_VALUE"""),"ROBERTO FERNÁNDEZ")</f>
        <v>ROBERTO FERNÁNDEZ</v>
      </c>
      <c r="C72" s="24" t="str">
        <f>IFERROR(__xludf.DUMMYFUNCTION("""COMPUTED_VALUE"""),"RCD ESPANYOL")</f>
        <v>RCD ESPANYOL</v>
      </c>
      <c r="D72" s="24">
        <f>IFERROR(__xludf.DUMMYFUNCTION("""COMPUTED_VALUE"""),2.0)</f>
        <v>2</v>
      </c>
    </row>
    <row r="73" ht="15.75" customHeight="1">
      <c r="A73" s="24">
        <f>IFERROR(__xludf.DUMMYFUNCTION("""COMPUTED_VALUE"""),144.0)</f>
        <v>144</v>
      </c>
      <c r="B73" s="24" t="str">
        <f>IFERROR(__xludf.DUMMYFUNCTION("""COMPUTED_VALUE"""),"PERE MILLA")</f>
        <v>PERE MILLA</v>
      </c>
      <c r="C73" s="24" t="str">
        <f>IFERROR(__xludf.DUMMYFUNCTION("""COMPUTED_VALUE"""),"RCD ESPANYOL")</f>
        <v>RCD ESPANYOL</v>
      </c>
      <c r="D73" s="24">
        <f>IFERROR(__xludf.DUMMYFUNCTION("""COMPUTED_VALUE"""),2.0)</f>
        <v>2</v>
      </c>
    </row>
    <row r="74" ht="15.75" customHeight="1">
      <c r="A74" s="24">
        <f>IFERROR(__xludf.DUMMYFUNCTION("""COMPUTED_VALUE"""),145.0)</f>
        <v>145</v>
      </c>
      <c r="B74" s="24" t="str">
        <f>IFERROR(__xludf.DUMMYFUNCTION("""COMPUTED_VALUE"""),"ESCUDO")</f>
        <v>ESCUDO</v>
      </c>
      <c r="C74" s="24" t="str">
        <f>IFERROR(__xludf.DUMMYFUNCTION("""COMPUTED_VALUE"""),"GETAFE CF")</f>
        <v>GETAFE CF</v>
      </c>
      <c r="D74" s="24">
        <f>IFERROR(__xludf.DUMMYFUNCTION("""COMPUTED_VALUE"""),1.0)</f>
        <v>1</v>
      </c>
    </row>
    <row r="75" ht="15.75" customHeight="1">
      <c r="A75" s="24">
        <f>IFERROR(__xludf.DUMMYFUNCTION("""COMPUTED_VALUE"""),146.0)</f>
        <v>146</v>
      </c>
      <c r="B75" s="24" t="str">
        <f>IFERROR(__xludf.DUMMYFUNCTION("""COMPUTED_VALUE"""),"DAVID SORIA")</f>
        <v>DAVID SORIA</v>
      </c>
      <c r="C75" s="24" t="str">
        <f>IFERROR(__xludf.DUMMYFUNCTION("""COMPUTED_VALUE"""),"GETAFE CF")</f>
        <v>GETAFE CF</v>
      </c>
      <c r="D75" s="24">
        <f>IFERROR(__xludf.DUMMYFUNCTION("""COMPUTED_VALUE"""),2.0)</f>
        <v>2</v>
      </c>
    </row>
    <row r="76" ht="15.75" customHeight="1">
      <c r="A76" s="24">
        <f>IFERROR(__xludf.DUMMYFUNCTION("""COMPUTED_VALUE"""),148.0)</f>
        <v>148</v>
      </c>
      <c r="B76" s="24" t="str">
        <f>IFERROR(__xludf.DUMMYFUNCTION("""COMPUTED_VALUE"""),"IGLESIAS")</f>
        <v>IGLESIAS</v>
      </c>
      <c r="C76" s="24" t="str">
        <f>IFERROR(__xludf.DUMMYFUNCTION("""COMPUTED_VALUE"""),"GETAFE CF")</f>
        <v>GETAFE CF</v>
      </c>
      <c r="D76" s="24">
        <f>IFERROR(__xludf.DUMMYFUNCTION("""COMPUTED_VALUE"""),1.0)</f>
        <v>1</v>
      </c>
    </row>
    <row r="77" ht="15.75" customHeight="1">
      <c r="A77" s="24">
        <f>IFERROR(__xludf.DUMMYFUNCTION("""COMPUTED_VALUE"""),152.0)</f>
        <v>152</v>
      </c>
      <c r="B77" s="24" t="str">
        <f>IFERROR(__xludf.DUMMYFUNCTION("""COMPUTED_VALUE"""),"ABQAR")</f>
        <v>ABQAR</v>
      </c>
      <c r="C77" s="24" t="str">
        <f>IFERROR(__xludf.DUMMYFUNCTION("""COMPUTED_VALUE"""),"GETAFE CF")</f>
        <v>GETAFE CF</v>
      </c>
      <c r="D77" s="24">
        <f>IFERROR(__xludf.DUMMYFUNCTION("""COMPUTED_VALUE"""),1.0)</f>
        <v>1</v>
      </c>
    </row>
    <row r="78" ht="15.75" customHeight="1">
      <c r="A78" s="24">
        <f>IFERROR(__xludf.DUMMYFUNCTION("""COMPUTED_VALUE"""),153.0)</f>
        <v>153</v>
      </c>
      <c r="B78" s="24" t="str">
        <f>IFERROR(__xludf.DUMMYFUNCTION("""COMPUTED_VALUE"""),"DIEGO RICO")</f>
        <v>DIEGO RICO</v>
      </c>
      <c r="C78" s="24" t="str">
        <f>IFERROR(__xludf.DUMMYFUNCTION("""COMPUTED_VALUE"""),"GETAFE CF")</f>
        <v>GETAFE CF</v>
      </c>
      <c r="D78" s="24">
        <f>IFERROR(__xludf.DUMMYFUNCTION("""COMPUTED_VALUE"""),1.0)</f>
        <v>1</v>
      </c>
    </row>
    <row r="79" ht="15.75" customHeight="1">
      <c r="A79" s="24">
        <f>IFERROR(__xludf.DUMMYFUNCTION("""COMPUTED_VALUE"""),154.0)</f>
        <v>154</v>
      </c>
      <c r="B79" s="24" t="str">
        <f>IFERROR(__xludf.DUMMYFUNCTION("""COMPUTED_VALUE"""),"DAVINCHI")</f>
        <v>DAVINCHI</v>
      </c>
      <c r="C79" s="24" t="str">
        <f>IFERROR(__xludf.DUMMYFUNCTION("""COMPUTED_VALUE"""),"GETAFE CF")</f>
        <v>GETAFE CF</v>
      </c>
      <c r="D79" s="24">
        <f>IFERROR(__xludf.DUMMYFUNCTION("""COMPUTED_VALUE"""),1.0)</f>
        <v>1</v>
      </c>
    </row>
    <row r="80" ht="15.75" customHeight="1">
      <c r="A80" s="24">
        <f>IFERROR(__xludf.DUMMYFUNCTION("""COMPUTED_VALUE"""),159.0)</f>
        <v>159</v>
      </c>
      <c r="B80" s="24" t="str">
        <f>IFERROR(__xludf.DUMMYFUNCTION("""COMPUTED_VALUE"""),"JAVI MUÑOZ")</f>
        <v>JAVI MUÑOZ</v>
      </c>
      <c r="C80" s="24" t="str">
        <f>IFERROR(__xludf.DUMMYFUNCTION("""COMPUTED_VALUE"""),"GETAFE CF")</f>
        <v>GETAFE CF</v>
      </c>
      <c r="D80" s="24">
        <f>IFERROR(__xludf.DUMMYFUNCTION("""COMPUTED_VALUE"""),1.0)</f>
        <v>1</v>
      </c>
    </row>
    <row r="81" ht="15.75" customHeight="1">
      <c r="A81" s="24">
        <f>IFERROR(__xludf.DUMMYFUNCTION("""COMPUTED_VALUE"""),162.0)</f>
        <v>162</v>
      </c>
      <c r="B81" s="24" t="str">
        <f>IFERROR(__xludf.DUMMYFUNCTION("""COMPUTED_VALUE"""),"COBA")</f>
        <v>COBA</v>
      </c>
      <c r="C81" s="24" t="str">
        <f>IFERROR(__xludf.DUMMYFUNCTION("""COMPUTED_VALUE"""),"GETAFE CF")</f>
        <v>GETAFE CF</v>
      </c>
      <c r="D81" s="24">
        <f>IFERROR(__xludf.DUMMYFUNCTION("""COMPUTED_VALUE"""),1.0)</f>
        <v>1</v>
      </c>
    </row>
    <row r="82" ht="15.75" customHeight="1">
      <c r="A82" s="24">
        <f>IFERROR(__xludf.DUMMYFUNCTION("""COMPUTED_VALUE"""),163.0)</f>
        <v>163</v>
      </c>
      <c r="B82" s="24" t="str">
        <f>IFERROR(__xludf.DUMMYFUNCTION("""COMPUTED_VALUE"""),"ESCUDO")</f>
        <v>ESCUDO</v>
      </c>
      <c r="C82" s="24" t="str">
        <f>IFERROR(__xludf.DUMMYFUNCTION("""COMPUTED_VALUE"""),"GIRONA FC")</f>
        <v>GIRONA FC</v>
      </c>
      <c r="D82" s="24">
        <f>IFERROR(__xludf.DUMMYFUNCTION("""COMPUTED_VALUE"""),2.0)</f>
        <v>2</v>
      </c>
    </row>
    <row r="83" ht="15.75" customHeight="1">
      <c r="A83" s="24">
        <f>IFERROR(__xludf.DUMMYFUNCTION("""COMPUTED_VALUE"""),164.0)</f>
        <v>164</v>
      </c>
      <c r="B83" s="24" t="str">
        <f>IFERROR(__xludf.DUMMYFUNCTION("""COMPUTED_VALUE"""),"GAZZANIGA")</f>
        <v>GAZZANIGA</v>
      </c>
      <c r="C83" s="24" t="str">
        <f>IFERROR(__xludf.DUMMYFUNCTION("""COMPUTED_VALUE"""),"GIRONA FC")</f>
        <v>GIRONA FC</v>
      </c>
      <c r="D83" s="24">
        <f>IFERROR(__xludf.DUMMYFUNCTION("""COMPUTED_VALUE"""),2.0)</f>
        <v>2</v>
      </c>
    </row>
    <row r="84" ht="15.75" customHeight="1">
      <c r="A84" s="24">
        <f>IFERROR(__xludf.DUMMYFUNCTION("""COMPUTED_VALUE"""),166.0)</f>
        <v>166</v>
      </c>
      <c r="B84" s="24" t="str">
        <f>IFERROR(__xludf.DUMMYFUNCTION("""COMPUTED_VALUE"""),"ARNAU")</f>
        <v>ARNAU</v>
      </c>
      <c r="C84" s="24" t="str">
        <f>IFERROR(__xludf.DUMMYFUNCTION("""COMPUTED_VALUE"""),"GIRONA FC")</f>
        <v>GIRONA FC</v>
      </c>
      <c r="D84" s="24">
        <f>IFERROR(__xludf.DUMMYFUNCTION("""COMPUTED_VALUE"""),1.0)</f>
        <v>1</v>
      </c>
    </row>
    <row r="85" ht="15.75" customHeight="1">
      <c r="A85" s="24">
        <f>IFERROR(__xludf.DUMMYFUNCTION("""COMPUTED_VALUE"""),168.0)</f>
        <v>168</v>
      </c>
      <c r="B85" s="24" t="str">
        <f>IFERROR(__xludf.DUMMYFUNCTION("""COMPUTED_VALUE"""),"VITOR REIS")</f>
        <v>VITOR REIS</v>
      </c>
      <c r="C85" s="24" t="str">
        <f>IFERROR(__xludf.DUMMYFUNCTION("""COMPUTED_VALUE"""),"GIRONA FC")</f>
        <v>GIRONA FC</v>
      </c>
      <c r="D85" s="24">
        <f>IFERROR(__xludf.DUMMYFUNCTION("""COMPUTED_VALUE"""),1.0)</f>
        <v>1</v>
      </c>
    </row>
    <row r="86" ht="15.75" customHeight="1">
      <c r="A86" s="24">
        <f>IFERROR(__xludf.DUMMYFUNCTION("""COMPUTED_VALUE"""),172.0)</f>
        <v>172</v>
      </c>
      <c r="B86" s="24" t="str">
        <f>IFERROR(__xludf.DUMMYFUNCTION("""COMPUTED_VALUE"""),"WITSEL")</f>
        <v>WITSEL</v>
      </c>
      <c r="C86" s="24" t="str">
        <f>IFERROR(__xludf.DUMMYFUNCTION("""COMPUTED_VALUE"""),"GIRONA FC")</f>
        <v>GIRONA FC</v>
      </c>
      <c r="D86" s="24">
        <f>IFERROR(__xludf.DUMMYFUNCTION("""COMPUTED_VALUE"""),2.0)</f>
        <v>2</v>
      </c>
    </row>
    <row r="87" ht="15.75" customHeight="1">
      <c r="A87" s="24">
        <f>IFERROR(__xludf.DUMMYFUNCTION("""COMPUTED_VALUE"""),173.0)</f>
        <v>173</v>
      </c>
      <c r="B87" s="24" t="str">
        <f>IFERROR(__xludf.DUMMYFUNCTION("""COMPUTED_VALUE"""),"OUNAHI")</f>
        <v>OUNAHI</v>
      </c>
      <c r="C87" s="24" t="str">
        <f>IFERROR(__xludf.DUMMYFUNCTION("""COMPUTED_VALUE"""),"GIRONA FC")</f>
        <v>GIRONA FC</v>
      </c>
      <c r="D87" s="24">
        <f>IFERROR(__xludf.DUMMYFUNCTION("""COMPUTED_VALUE"""),1.0)</f>
        <v>1</v>
      </c>
    </row>
    <row r="88" ht="15.75" customHeight="1">
      <c r="A88" s="24">
        <f>IFERROR(__xludf.DUMMYFUNCTION("""COMPUTED_VALUE"""),174.0)</f>
        <v>174</v>
      </c>
      <c r="B88" s="24" t="str">
        <f>IFERROR(__xludf.DUMMYFUNCTION("""COMPUTED_VALUE"""),"IVÁN MARTÍN")</f>
        <v>IVÁN MARTÍN</v>
      </c>
      <c r="C88" s="24" t="str">
        <f>IFERROR(__xludf.DUMMYFUNCTION("""COMPUTED_VALUE"""),"GIRONA FC")</f>
        <v>GIRONA FC</v>
      </c>
      <c r="D88" s="24">
        <f>IFERROR(__xludf.DUMMYFUNCTION("""COMPUTED_VALUE"""),2.0)</f>
        <v>2</v>
      </c>
    </row>
    <row r="89" ht="15.75" customHeight="1">
      <c r="A89" s="24">
        <f>IFERROR(__xludf.DUMMYFUNCTION("""COMPUTED_VALUE"""),175.0)</f>
        <v>175</v>
      </c>
      <c r="B89" s="24" t="str">
        <f>IFERROR(__xludf.DUMMYFUNCTION("""COMPUTED_VALUE"""),"YÁSER ASPRILLA")</f>
        <v>YÁSER ASPRILLA</v>
      </c>
      <c r="C89" s="24" t="str">
        <f>IFERROR(__xludf.DUMMYFUNCTION("""COMPUTED_VALUE"""),"GIRONA FC")</f>
        <v>GIRONA FC</v>
      </c>
      <c r="D89" s="24">
        <f>IFERROR(__xludf.DUMMYFUNCTION("""COMPUTED_VALUE"""),3.0)</f>
        <v>3</v>
      </c>
    </row>
    <row r="90" ht="15.75" customHeight="1">
      <c r="A90" s="24">
        <f>IFERROR(__xludf.DUMMYFUNCTION("""COMPUTED_VALUE"""),176.0)</f>
        <v>176</v>
      </c>
      <c r="B90" s="24" t="str">
        <f>IFERROR(__xludf.DUMMYFUNCTION("""COMPUTED_VALUE"""),"JOEL ROCA")</f>
        <v>JOEL ROCA</v>
      </c>
      <c r="C90" s="24" t="str">
        <f>IFERROR(__xludf.DUMMYFUNCTION("""COMPUTED_VALUE"""),"GIRONA FC")</f>
        <v>GIRONA FC</v>
      </c>
      <c r="D90" s="24">
        <f>IFERROR(__xludf.DUMMYFUNCTION("""COMPUTED_VALUE"""),1.0)</f>
        <v>1</v>
      </c>
    </row>
    <row r="91" ht="15.75" customHeight="1">
      <c r="A91" s="24">
        <f>IFERROR(__xludf.DUMMYFUNCTION("""COMPUTED_VALUE"""),179.0)</f>
        <v>179</v>
      </c>
      <c r="B91" s="24" t="str">
        <f>IFERROR(__xludf.DUMMYFUNCTION("""COMPUTED_VALUE"""),"STUANI")</f>
        <v>STUANI</v>
      </c>
      <c r="C91" s="24" t="str">
        <f>IFERROR(__xludf.DUMMYFUNCTION("""COMPUTED_VALUE"""),"GIRONA FC")</f>
        <v>GIRONA FC</v>
      </c>
      <c r="D91" s="24">
        <f>IFERROR(__xludf.DUMMYFUNCTION("""COMPUTED_VALUE"""),1.0)</f>
        <v>1</v>
      </c>
    </row>
    <row r="92" ht="15.75" customHeight="1">
      <c r="A92" s="24">
        <f>IFERROR(__xludf.DUMMYFUNCTION("""COMPUTED_VALUE"""),180.0)</f>
        <v>180</v>
      </c>
      <c r="B92" s="24" t="str">
        <f>IFERROR(__xludf.DUMMYFUNCTION("""COMPUTED_VALUE"""),"BRYAN GIL")</f>
        <v>BRYAN GIL</v>
      </c>
      <c r="C92" s="24" t="str">
        <f>IFERROR(__xludf.DUMMYFUNCTION("""COMPUTED_VALUE"""),"GIRONA FC")</f>
        <v>GIRONA FC</v>
      </c>
      <c r="D92" s="24">
        <f>IFERROR(__xludf.DUMMYFUNCTION("""COMPUTED_VALUE"""),2.0)</f>
        <v>2</v>
      </c>
    </row>
    <row r="93" ht="15.75" customHeight="1">
      <c r="A93" s="24">
        <f>IFERROR(__xludf.DUMMYFUNCTION("""COMPUTED_VALUE"""),184.0)</f>
        <v>184</v>
      </c>
      <c r="B93" s="24" t="str">
        <f>IFERROR(__xludf.DUMMYFUNCTION("""COMPUTED_VALUE"""),"TOLJAN")</f>
        <v>TOLJAN</v>
      </c>
      <c r="C93" s="24" t="str">
        <f>IFERROR(__xludf.DUMMYFUNCTION("""COMPUTED_VALUE"""),"LEVANTE UD")</f>
        <v>LEVANTE UD</v>
      </c>
      <c r="D93" s="24">
        <f>IFERROR(__xludf.DUMMYFUNCTION("""COMPUTED_VALUE"""),1.0)</f>
        <v>1</v>
      </c>
    </row>
    <row r="94" ht="15.75" customHeight="1">
      <c r="A94" s="24">
        <f>IFERROR(__xludf.DUMMYFUNCTION("""COMPUTED_VALUE"""),185.0)</f>
        <v>185</v>
      </c>
      <c r="B94" s="24" t="str">
        <f>IFERROR(__xludf.DUMMYFUNCTION("""COMPUTED_VALUE"""),"DELA")</f>
        <v>DELA</v>
      </c>
      <c r="C94" s="24" t="str">
        <f>IFERROR(__xludf.DUMMYFUNCTION("""COMPUTED_VALUE"""),"LEVANTE UD")</f>
        <v>LEVANTE UD</v>
      </c>
      <c r="D94" s="24">
        <f>IFERROR(__xludf.DUMMYFUNCTION("""COMPUTED_VALUE"""),1.0)</f>
        <v>1</v>
      </c>
    </row>
    <row r="95" ht="15.75" customHeight="1">
      <c r="A95" s="24">
        <f>IFERROR(__xludf.DUMMYFUNCTION("""COMPUTED_VALUE"""),186.0)</f>
        <v>186</v>
      </c>
      <c r="B95" s="24" t="str">
        <f>IFERROR(__xludf.DUMMYFUNCTION("""COMPUTED_VALUE"""),"ELGEZABAL")</f>
        <v>ELGEZABAL</v>
      </c>
      <c r="C95" s="24" t="str">
        <f>IFERROR(__xludf.DUMMYFUNCTION("""COMPUTED_VALUE"""),"LEVANTE UD")</f>
        <v>LEVANTE UD</v>
      </c>
      <c r="D95" s="24">
        <f>IFERROR(__xludf.DUMMYFUNCTION("""COMPUTED_VALUE"""),1.0)</f>
        <v>1</v>
      </c>
    </row>
    <row r="96" ht="15.75" customHeight="1">
      <c r="A96" s="24">
        <f>IFERROR(__xludf.DUMMYFUNCTION("""COMPUTED_VALUE"""),187.0)</f>
        <v>187</v>
      </c>
      <c r="B96" s="24" t="str">
        <f>IFERROR(__xludf.DUMMYFUNCTION("""COMPUTED_VALUE"""),"MATÍAS MORENO")</f>
        <v>MATÍAS MORENO</v>
      </c>
      <c r="C96" s="24" t="str">
        <f>IFERROR(__xludf.DUMMYFUNCTION("""COMPUTED_VALUE"""),"LEVANTE UD")</f>
        <v>LEVANTE UD</v>
      </c>
      <c r="D96" s="24">
        <f>IFERROR(__xludf.DUMMYFUNCTION("""COMPUTED_VALUE"""),1.0)</f>
        <v>1</v>
      </c>
    </row>
    <row r="97" ht="15.75" customHeight="1">
      <c r="A97" s="24">
        <f>IFERROR(__xludf.DUMMYFUNCTION("""COMPUTED_VALUE"""),189.0)</f>
        <v>189</v>
      </c>
      <c r="B97" s="24" t="str">
        <f>IFERROR(__xludf.DUMMYFUNCTION("""COMPUTED_VALUE"""),"PAMPÍN")</f>
        <v>PAMPÍN</v>
      </c>
      <c r="C97" s="24" t="str">
        <f>IFERROR(__xludf.DUMMYFUNCTION("""COMPUTED_VALUE"""),"LEVANTE UD")</f>
        <v>LEVANTE UD</v>
      </c>
      <c r="D97" s="24">
        <f>IFERROR(__xludf.DUMMYFUNCTION("""COMPUTED_VALUE"""),1.0)</f>
        <v>1</v>
      </c>
    </row>
    <row r="98" ht="15.75" customHeight="1">
      <c r="A98" s="24">
        <f>IFERROR(__xludf.DUMMYFUNCTION("""COMPUTED_VALUE"""),190.0)</f>
        <v>190</v>
      </c>
      <c r="B98" s="24" t="str">
        <f>IFERROR(__xludf.DUMMYFUNCTION("""COMPUTED_VALUE"""),"ORIOL REY")</f>
        <v>ORIOL REY</v>
      </c>
      <c r="C98" s="24" t="str">
        <f>IFERROR(__xludf.DUMMYFUNCTION("""COMPUTED_VALUE"""),"LEVANTE UD")</f>
        <v>LEVANTE UD</v>
      </c>
      <c r="D98" s="24">
        <f>IFERROR(__xludf.DUMMYFUNCTION("""COMPUTED_VALUE"""),1.0)</f>
        <v>1</v>
      </c>
    </row>
    <row r="99" ht="15.75" customHeight="1">
      <c r="A99" s="24">
        <f>IFERROR(__xludf.DUMMYFUNCTION("""COMPUTED_VALUE"""),191.0)</f>
        <v>191</v>
      </c>
      <c r="B99" s="24" t="str">
        <f>IFERROR(__xludf.DUMMYFUNCTION("""COMPUTED_VALUE"""),"PABLO MARTÍNEZ")</f>
        <v>PABLO MARTÍNEZ</v>
      </c>
      <c r="C99" s="24" t="str">
        <f>IFERROR(__xludf.DUMMYFUNCTION("""COMPUTED_VALUE"""),"LEVANTE UD")</f>
        <v>LEVANTE UD</v>
      </c>
      <c r="D99" s="24">
        <f>IFERROR(__xludf.DUMMYFUNCTION("""COMPUTED_VALUE"""),1.0)</f>
        <v>1</v>
      </c>
    </row>
    <row r="100" ht="15.75" customHeight="1">
      <c r="A100" s="24">
        <f>IFERROR(__xludf.DUMMYFUNCTION("""COMPUTED_VALUE"""),192.0)</f>
        <v>192</v>
      </c>
      <c r="B100" s="24" t="str">
        <f>IFERROR(__xludf.DUMMYFUNCTION("""COMPUTED_VALUE"""),"OLASAGASTI")</f>
        <v>OLASAGASTI</v>
      </c>
      <c r="C100" s="24" t="str">
        <f>IFERROR(__xludf.DUMMYFUNCTION("""COMPUTED_VALUE"""),"LEVANTE UD")</f>
        <v>LEVANTE UD</v>
      </c>
      <c r="D100" s="24">
        <f>IFERROR(__xludf.DUMMYFUNCTION("""COMPUTED_VALUE"""),1.0)</f>
        <v>1</v>
      </c>
    </row>
    <row r="101" ht="15.75" customHeight="1">
      <c r="A101" s="24">
        <f>IFERROR(__xludf.DUMMYFUNCTION("""COMPUTED_VALUE"""),195.0)</f>
        <v>195</v>
      </c>
      <c r="B101" s="24" t="str">
        <f>IFERROR(__xludf.DUMMYFUNCTION("""COMPUTED_VALUE"""),"MORALES")</f>
        <v>MORALES</v>
      </c>
      <c r="C101" s="24" t="str">
        <f>IFERROR(__xludf.DUMMYFUNCTION("""COMPUTED_VALUE"""),"LEVANTE UD")</f>
        <v>LEVANTE UD</v>
      </c>
      <c r="D101" s="24">
        <f>IFERROR(__xludf.DUMMYFUNCTION("""COMPUTED_VALUE"""),2.0)</f>
        <v>2</v>
      </c>
    </row>
    <row r="102" ht="15.75" customHeight="1">
      <c r="A102" s="24">
        <f>IFERROR(__xludf.DUMMYFUNCTION("""COMPUTED_VALUE"""),197.0)</f>
        <v>197</v>
      </c>
      <c r="B102" s="24" t="str">
        <f>IFERROR(__xludf.DUMMYFUNCTION("""COMPUTED_VALUE"""),"IVÁN ROMERO")</f>
        <v>IVÁN ROMERO</v>
      </c>
      <c r="C102" s="24" t="str">
        <f>IFERROR(__xludf.DUMMYFUNCTION("""COMPUTED_VALUE"""),"LEVANTE UD")</f>
        <v>LEVANTE UD</v>
      </c>
      <c r="D102" s="24">
        <f>IFERROR(__xludf.DUMMYFUNCTION("""COMPUTED_VALUE"""),1.0)</f>
        <v>1</v>
      </c>
    </row>
    <row r="103" ht="15.75" customHeight="1">
      <c r="A103" s="24">
        <f>IFERROR(__xludf.DUMMYFUNCTION("""COMPUTED_VALUE"""),202.0)</f>
        <v>202</v>
      </c>
      <c r="B103" s="24" t="str">
        <f>IFERROR(__xludf.DUMMYFUNCTION("""COMPUTED_VALUE"""),"CARVAJAL")</f>
        <v>CARVAJAL</v>
      </c>
      <c r="C103" s="24" t="str">
        <f>IFERROR(__xludf.DUMMYFUNCTION("""COMPUTED_VALUE"""),"REAL MADRID")</f>
        <v>REAL MADRID</v>
      </c>
      <c r="D103" s="24">
        <f>IFERROR(__xludf.DUMMYFUNCTION("""COMPUTED_VALUE"""),1.0)</f>
        <v>1</v>
      </c>
    </row>
    <row r="104" ht="15.75" customHeight="1">
      <c r="A104" s="24">
        <f>IFERROR(__xludf.DUMMYFUNCTION("""COMPUTED_VALUE"""),203.0)</f>
        <v>203</v>
      </c>
      <c r="B104" s="24" t="str">
        <f>IFERROR(__xludf.DUMMYFUNCTION("""COMPUTED_VALUE"""),"TRENT")</f>
        <v>TRENT</v>
      </c>
      <c r="C104" s="24" t="str">
        <f>IFERROR(__xludf.DUMMYFUNCTION("""COMPUTED_VALUE"""),"REAL MADRID")</f>
        <v>REAL MADRID</v>
      </c>
      <c r="D104" s="24">
        <f>IFERROR(__xludf.DUMMYFUNCTION("""COMPUTED_VALUE"""),2.0)</f>
        <v>2</v>
      </c>
    </row>
    <row r="105" ht="15.75" customHeight="1">
      <c r="A105" s="24">
        <f>IFERROR(__xludf.DUMMYFUNCTION("""COMPUTED_VALUE"""),205.0)</f>
        <v>205</v>
      </c>
      <c r="B105" s="24" t="str">
        <f>IFERROR(__xludf.DUMMYFUNCTION("""COMPUTED_VALUE"""),"HUIJSEN")</f>
        <v>HUIJSEN</v>
      </c>
      <c r="C105" s="24" t="str">
        <f>IFERROR(__xludf.DUMMYFUNCTION("""COMPUTED_VALUE"""),"REAL MADRID")</f>
        <v>REAL MADRID</v>
      </c>
      <c r="D105" s="24">
        <f>IFERROR(__xludf.DUMMYFUNCTION("""COMPUTED_VALUE"""),1.0)</f>
        <v>1</v>
      </c>
    </row>
    <row r="106" ht="15.75" customHeight="1">
      <c r="A106" s="24">
        <f>IFERROR(__xludf.DUMMYFUNCTION("""COMPUTED_VALUE"""),206.0)</f>
        <v>206</v>
      </c>
      <c r="B106" s="24" t="str">
        <f>IFERROR(__xludf.DUMMYFUNCTION("""COMPUTED_VALUE"""),"RÜDIGER")</f>
        <v>RÜDIGER</v>
      </c>
      <c r="C106" s="24" t="str">
        <f>IFERROR(__xludf.DUMMYFUNCTION("""COMPUTED_VALUE"""),"REAL MADRID")</f>
        <v>REAL MADRID</v>
      </c>
      <c r="D106" s="24">
        <f>IFERROR(__xludf.DUMMYFUNCTION("""COMPUTED_VALUE"""),1.0)</f>
        <v>1</v>
      </c>
    </row>
    <row r="107" ht="15.75" customHeight="1">
      <c r="A107" s="24">
        <f>IFERROR(__xludf.DUMMYFUNCTION("""COMPUTED_VALUE"""),208.0)</f>
        <v>208</v>
      </c>
      <c r="B107" s="24" t="str">
        <f>IFERROR(__xludf.DUMMYFUNCTION("""COMPUTED_VALUE"""),"TCHOUAMÉNI")</f>
        <v>TCHOUAMÉNI</v>
      </c>
      <c r="C107" s="24" t="str">
        <f>IFERROR(__xludf.DUMMYFUNCTION("""COMPUTED_VALUE"""),"REAL MADRID")</f>
        <v>REAL MADRID</v>
      </c>
      <c r="D107" s="24">
        <f>IFERROR(__xludf.DUMMYFUNCTION("""COMPUTED_VALUE"""),1.0)</f>
        <v>1</v>
      </c>
    </row>
    <row r="108" ht="15.75" customHeight="1">
      <c r="A108" s="24">
        <f>IFERROR(__xludf.DUMMYFUNCTION("""COMPUTED_VALUE"""),209.0)</f>
        <v>209</v>
      </c>
      <c r="B108" s="24" t="str">
        <f>IFERROR(__xludf.DUMMYFUNCTION("""COMPUTED_VALUE"""),"FEDE VALVERDE")</f>
        <v>FEDE VALVERDE</v>
      </c>
      <c r="C108" s="24" t="str">
        <f>IFERROR(__xludf.DUMMYFUNCTION("""COMPUTED_VALUE"""),"REAL MADRID")</f>
        <v>REAL MADRID</v>
      </c>
      <c r="D108" s="24">
        <f>IFERROR(__xludf.DUMMYFUNCTION("""COMPUTED_VALUE"""),1.0)</f>
        <v>1</v>
      </c>
    </row>
    <row r="109" ht="15.75" customHeight="1">
      <c r="A109" s="24">
        <f>IFERROR(__xludf.DUMMYFUNCTION("""COMPUTED_VALUE"""),210.0)</f>
        <v>210</v>
      </c>
      <c r="B109" s="24" t="str">
        <f>IFERROR(__xludf.DUMMYFUNCTION("""COMPUTED_VALUE"""),"BELLINGHAM")</f>
        <v>BELLINGHAM</v>
      </c>
      <c r="C109" s="24" t="str">
        <f>IFERROR(__xludf.DUMMYFUNCTION("""COMPUTED_VALUE"""),"REAL MADRID")</f>
        <v>REAL MADRID</v>
      </c>
      <c r="D109" s="24">
        <f>IFERROR(__xludf.DUMMYFUNCTION("""COMPUTED_VALUE"""),1.0)</f>
        <v>1</v>
      </c>
    </row>
    <row r="110" ht="15.75" customHeight="1">
      <c r="A110" s="24">
        <f>IFERROR(__xludf.DUMMYFUNCTION("""COMPUTED_VALUE"""),211.0)</f>
        <v>211</v>
      </c>
      <c r="B110" s="24" t="str">
        <f>IFERROR(__xludf.DUMMYFUNCTION("""COMPUTED_VALUE"""),"GÜLER")</f>
        <v>GÜLER</v>
      </c>
      <c r="C110" s="24" t="str">
        <f>IFERROR(__xludf.DUMMYFUNCTION("""COMPUTED_VALUE"""),"REAL MADRID")</f>
        <v>REAL MADRID</v>
      </c>
      <c r="D110" s="24">
        <f>IFERROR(__xludf.DUMMYFUNCTION("""COMPUTED_VALUE"""),1.0)</f>
        <v>1</v>
      </c>
    </row>
    <row r="111" ht="15.75" customHeight="1">
      <c r="A111" s="24">
        <f>IFERROR(__xludf.DUMMYFUNCTION("""COMPUTED_VALUE"""),212.0)</f>
        <v>212</v>
      </c>
      <c r="B111" s="24" t="str">
        <f>IFERROR(__xludf.DUMMYFUNCTION("""COMPUTED_VALUE"""),"MASTANTUONO")</f>
        <v>MASTANTUONO</v>
      </c>
      <c r="C111" s="24" t="str">
        <f>IFERROR(__xludf.DUMMYFUNCTION("""COMPUTED_VALUE"""),"REAL MADRID")</f>
        <v>REAL MADRID</v>
      </c>
      <c r="D111" s="24">
        <f>IFERROR(__xludf.DUMMYFUNCTION("""COMPUTED_VALUE"""),2.0)</f>
        <v>2</v>
      </c>
    </row>
    <row r="112" ht="15.75" customHeight="1">
      <c r="A112" s="24">
        <f>IFERROR(__xludf.DUMMYFUNCTION("""COMPUTED_VALUE"""),213.0)</f>
        <v>213</v>
      </c>
      <c r="B112" s="24" t="str">
        <f>IFERROR(__xludf.DUMMYFUNCTION("""COMPUTED_VALUE"""),"RODRYGO")</f>
        <v>RODRYGO</v>
      </c>
      <c r="C112" s="24" t="str">
        <f>IFERROR(__xludf.DUMMYFUNCTION("""COMPUTED_VALUE"""),"REAL MADRID")</f>
        <v>REAL MADRID</v>
      </c>
      <c r="D112" s="24">
        <f>IFERROR(__xludf.DUMMYFUNCTION("""COMPUTED_VALUE"""),1.0)</f>
        <v>1</v>
      </c>
    </row>
    <row r="113" ht="15.75" customHeight="1">
      <c r="A113" s="24">
        <f>IFERROR(__xludf.DUMMYFUNCTION("""COMPUTED_VALUE"""),214.0)</f>
        <v>214</v>
      </c>
      <c r="B113" s="24" t="str">
        <f>IFERROR(__xludf.DUMMYFUNCTION("""COMPUTED_VALUE"""),"MBAPPÉ")</f>
        <v>MBAPPÉ</v>
      </c>
      <c r="C113" s="24" t="str">
        <f>IFERROR(__xludf.DUMMYFUNCTION("""COMPUTED_VALUE"""),"REAL MADRID")</f>
        <v>REAL MADRID</v>
      </c>
      <c r="D113" s="24">
        <f>IFERROR(__xludf.DUMMYFUNCTION("""COMPUTED_VALUE"""),1.0)</f>
        <v>1</v>
      </c>
    </row>
    <row r="114" ht="15.75" customHeight="1">
      <c r="A114" s="24">
        <f>IFERROR(__xludf.DUMMYFUNCTION("""COMPUTED_VALUE"""),215.0)</f>
        <v>215</v>
      </c>
      <c r="B114" s="24" t="str">
        <f>IFERROR(__xludf.DUMMYFUNCTION("""COMPUTED_VALUE"""),"GONZALO")</f>
        <v>GONZALO</v>
      </c>
      <c r="C114" s="24" t="str">
        <f>IFERROR(__xludf.DUMMYFUNCTION("""COMPUTED_VALUE"""),"REAL MADRID")</f>
        <v>REAL MADRID</v>
      </c>
      <c r="D114" s="24">
        <f>IFERROR(__xludf.DUMMYFUNCTION("""COMPUTED_VALUE"""),1.0)</f>
        <v>1</v>
      </c>
    </row>
    <row r="115" ht="15.75" customHeight="1">
      <c r="A115" s="24">
        <f>IFERROR(__xludf.DUMMYFUNCTION("""COMPUTED_VALUE"""),216.0)</f>
        <v>216</v>
      </c>
      <c r="B115" s="24" t="str">
        <f>IFERROR(__xludf.DUMMYFUNCTION("""COMPUTED_VALUE"""),"VINÍCIUS")</f>
        <v>VINÍCIUS</v>
      </c>
      <c r="C115" s="24" t="str">
        <f>IFERROR(__xludf.DUMMYFUNCTION("""COMPUTED_VALUE"""),"REAL MADRID")</f>
        <v>REAL MADRID</v>
      </c>
      <c r="D115" s="24">
        <f>IFERROR(__xludf.DUMMYFUNCTION("""COMPUTED_VALUE"""),2.0)</f>
        <v>2</v>
      </c>
    </row>
    <row r="116" ht="15.75" customHeight="1">
      <c r="A116" s="24">
        <f>IFERROR(__xludf.DUMMYFUNCTION("""COMPUTED_VALUE"""),217.0)</f>
        <v>217</v>
      </c>
      <c r="B116" s="24" t="str">
        <f>IFERROR(__xludf.DUMMYFUNCTION("""COMPUTED_VALUE"""),"ESCUDO")</f>
        <v>ESCUDO</v>
      </c>
      <c r="C116" s="24" t="str">
        <f>IFERROR(__xludf.DUMMYFUNCTION("""COMPUTED_VALUE"""),"RCD MALLORCA")</f>
        <v>RCD MALLORCA</v>
      </c>
      <c r="D116" s="24">
        <f>IFERROR(__xludf.DUMMYFUNCTION("""COMPUTED_VALUE"""),1.0)</f>
        <v>1</v>
      </c>
    </row>
    <row r="117" ht="15.75" customHeight="1">
      <c r="A117" s="24">
        <f>IFERROR(__xludf.DUMMYFUNCTION("""COMPUTED_VALUE"""),218.0)</f>
        <v>218</v>
      </c>
      <c r="B117" s="24" t="str">
        <f>IFERROR(__xludf.DUMMYFUNCTION("""COMPUTED_VALUE"""),"LEO ROMÁN")</f>
        <v>LEO ROMÁN</v>
      </c>
      <c r="C117" s="24" t="str">
        <f>IFERROR(__xludf.DUMMYFUNCTION("""COMPUTED_VALUE"""),"RCD MALLORCA")</f>
        <v>RCD MALLORCA</v>
      </c>
      <c r="D117" s="24">
        <f>IFERROR(__xludf.DUMMYFUNCTION("""COMPUTED_VALUE"""),1.0)</f>
        <v>1</v>
      </c>
    </row>
    <row r="118" ht="15.75" customHeight="1">
      <c r="A118" s="24">
        <f>IFERROR(__xludf.DUMMYFUNCTION("""COMPUTED_VALUE"""),219.0)</f>
        <v>219</v>
      </c>
      <c r="B118" s="24" t="str">
        <f>IFERROR(__xludf.DUMMYFUNCTION("""COMPUTED_VALUE"""),"BERGSTRÖM")</f>
        <v>BERGSTRÖM</v>
      </c>
      <c r="C118" s="24" t="str">
        <f>IFERROR(__xludf.DUMMYFUNCTION("""COMPUTED_VALUE"""),"RCD MALLORCA")</f>
        <v>RCD MALLORCA</v>
      </c>
      <c r="D118" s="24">
        <f>IFERROR(__xludf.DUMMYFUNCTION("""COMPUTED_VALUE"""),2.0)</f>
        <v>2</v>
      </c>
    </row>
    <row r="119" ht="15.75" customHeight="1">
      <c r="A119" s="24">
        <f>IFERROR(__xludf.DUMMYFUNCTION("""COMPUTED_VALUE"""),220.0)</f>
        <v>220</v>
      </c>
      <c r="B119" s="24" t="str">
        <f>IFERROR(__xludf.DUMMYFUNCTION("""COMPUTED_VALUE"""),"MOREY")</f>
        <v>MOREY</v>
      </c>
      <c r="C119" s="24" t="str">
        <f>IFERROR(__xludf.DUMMYFUNCTION("""COMPUTED_VALUE"""),"RCD MALLORCA")</f>
        <v>RCD MALLORCA</v>
      </c>
      <c r="D119" s="24">
        <f>IFERROR(__xludf.DUMMYFUNCTION("""COMPUTED_VALUE"""),1.0)</f>
        <v>1</v>
      </c>
    </row>
    <row r="120" ht="15.75" customHeight="1">
      <c r="A120" s="24">
        <f>IFERROR(__xludf.DUMMYFUNCTION("""COMPUTED_VALUE"""),221.0)</f>
        <v>221</v>
      </c>
      <c r="B120" s="24" t="str">
        <f>IFERROR(__xludf.DUMMYFUNCTION("""COMPUTED_VALUE"""),"MAFFEO")</f>
        <v>MAFFEO</v>
      </c>
      <c r="C120" s="24" t="str">
        <f>IFERROR(__xludf.DUMMYFUNCTION("""COMPUTED_VALUE"""),"RCD MALLORCA")</f>
        <v>RCD MALLORCA</v>
      </c>
      <c r="D120" s="24">
        <f>IFERROR(__xludf.DUMMYFUNCTION("""COMPUTED_VALUE"""),1.0)</f>
        <v>1</v>
      </c>
    </row>
    <row r="121" ht="15.75" customHeight="1">
      <c r="A121" s="24">
        <f>IFERROR(__xludf.DUMMYFUNCTION("""COMPUTED_VALUE"""),222.0)</f>
        <v>222</v>
      </c>
      <c r="B121" s="24" t="str">
        <f>IFERROR(__xludf.DUMMYFUNCTION("""COMPUTED_VALUE"""),"VALJENT")</f>
        <v>VALJENT</v>
      </c>
      <c r="C121" s="24" t="str">
        <f>IFERROR(__xludf.DUMMYFUNCTION("""COMPUTED_VALUE"""),"RCD MALLORCA")</f>
        <v>RCD MALLORCA</v>
      </c>
      <c r="D121" s="24">
        <f>IFERROR(__xludf.DUMMYFUNCTION("""COMPUTED_VALUE"""),2.0)</f>
        <v>2</v>
      </c>
    </row>
    <row r="122" ht="15.75" customHeight="1">
      <c r="A122" s="24">
        <f>IFERROR(__xludf.DUMMYFUNCTION("""COMPUTED_VALUE"""),224.0)</f>
        <v>224</v>
      </c>
      <c r="B122" s="24" t="str">
        <f>IFERROR(__xludf.DUMMYFUNCTION("""COMPUTED_VALUE"""),"KUMBULLA")</f>
        <v>KUMBULLA</v>
      </c>
      <c r="C122" s="24" t="str">
        <f>IFERROR(__xludf.DUMMYFUNCTION("""COMPUTED_VALUE"""),"RCD MALLORCA")</f>
        <v>RCD MALLORCA</v>
      </c>
      <c r="D122" s="24">
        <f>IFERROR(__xludf.DUMMYFUNCTION("""COMPUTED_VALUE"""),2.0)</f>
        <v>2</v>
      </c>
    </row>
    <row r="123" ht="15.75" customHeight="1">
      <c r="A123" s="24">
        <f>IFERROR(__xludf.DUMMYFUNCTION("""COMPUTED_VALUE"""),225.0)</f>
        <v>225</v>
      </c>
      <c r="B123" s="24" t="str">
        <f>IFERROR(__xludf.DUMMYFUNCTION("""COMPUTED_VALUE"""),"MOJICA")</f>
        <v>MOJICA</v>
      </c>
      <c r="C123" s="24" t="str">
        <f>IFERROR(__xludf.DUMMYFUNCTION("""COMPUTED_VALUE"""),"RCD MALLORCA")</f>
        <v>RCD MALLORCA</v>
      </c>
      <c r="D123" s="24">
        <f>IFERROR(__xludf.DUMMYFUNCTION("""COMPUTED_VALUE"""),2.0)</f>
        <v>2</v>
      </c>
    </row>
    <row r="124" ht="15.75" customHeight="1">
      <c r="A124" s="24">
        <f>IFERROR(__xludf.DUMMYFUNCTION("""COMPUTED_VALUE"""),226.0)</f>
        <v>226</v>
      </c>
      <c r="B124" s="24" t="str">
        <f>IFERROR(__xludf.DUMMYFUNCTION("""COMPUTED_VALUE"""),"SAMÚ COSTA")</f>
        <v>SAMÚ COSTA</v>
      </c>
      <c r="C124" s="24" t="str">
        <f>IFERROR(__xludf.DUMMYFUNCTION("""COMPUTED_VALUE"""),"RCD MALLORCA")</f>
        <v>RCD MALLORCA</v>
      </c>
      <c r="D124" s="24">
        <f>IFERROR(__xludf.DUMMYFUNCTION("""COMPUTED_VALUE"""),1.0)</f>
        <v>1</v>
      </c>
    </row>
    <row r="125" ht="15.75" customHeight="1">
      <c r="A125" s="24">
        <f>IFERROR(__xludf.DUMMYFUNCTION("""COMPUTED_VALUE"""),229.0)</f>
        <v>229</v>
      </c>
      <c r="B125" s="24" t="str">
        <f>IFERROR(__xludf.DUMMYFUNCTION("""COMPUTED_VALUE"""),"MORLANES")</f>
        <v>MORLANES</v>
      </c>
      <c r="C125" s="24" t="str">
        <f>IFERROR(__xludf.DUMMYFUNCTION("""COMPUTED_VALUE"""),"RCD MALLORCA")</f>
        <v>RCD MALLORCA</v>
      </c>
      <c r="D125" s="24">
        <f>IFERROR(__xludf.DUMMYFUNCTION("""COMPUTED_VALUE"""),1.0)</f>
        <v>1</v>
      </c>
    </row>
    <row r="126" ht="15.75" customHeight="1">
      <c r="A126" s="24">
        <f>IFERROR(__xludf.DUMMYFUNCTION("""COMPUTED_VALUE"""),230.0)</f>
        <v>230</v>
      </c>
      <c r="B126" s="24" t="str">
        <f>IFERROR(__xludf.DUMMYFUNCTION("""COMPUTED_VALUE"""),"PABLO TORRE")</f>
        <v>PABLO TORRE</v>
      </c>
      <c r="C126" s="24" t="str">
        <f>IFERROR(__xludf.DUMMYFUNCTION("""COMPUTED_VALUE"""),"RCD MALLORCA")</f>
        <v>RCD MALLORCA</v>
      </c>
      <c r="D126" s="24">
        <f>IFERROR(__xludf.DUMMYFUNCTION("""COMPUTED_VALUE"""),1.0)</f>
        <v>1</v>
      </c>
    </row>
    <row r="127" ht="15.75" customHeight="1">
      <c r="A127" s="24">
        <f>IFERROR(__xludf.DUMMYFUNCTION("""COMPUTED_VALUE"""),234.0)</f>
        <v>234</v>
      </c>
      <c r="B127" s="24" t="str">
        <f>IFERROR(__xludf.DUMMYFUNCTION("""COMPUTED_VALUE"""),"JAN VIRGILI")</f>
        <v>JAN VIRGILI</v>
      </c>
      <c r="C127" s="24" t="str">
        <f>IFERROR(__xludf.DUMMYFUNCTION("""COMPUTED_VALUE"""),"RCD MALLORCA")</f>
        <v>RCD MALLORCA</v>
      </c>
      <c r="D127" s="24">
        <f>IFERROR(__xludf.DUMMYFUNCTION("""COMPUTED_VALUE"""),2.0)</f>
        <v>2</v>
      </c>
    </row>
    <row r="128" ht="15.75" customHeight="1">
      <c r="A128" s="24">
        <f>IFERROR(__xludf.DUMMYFUNCTION("""COMPUTED_VALUE"""),235.0)</f>
        <v>235</v>
      </c>
      <c r="B128" s="24" t="str">
        <f>IFERROR(__xludf.DUMMYFUNCTION("""COMPUTED_VALUE"""),"ESCUDO")</f>
        <v>ESCUDO</v>
      </c>
      <c r="C128" s="24" t="str">
        <f>IFERROR(__xludf.DUMMYFUNCTION("""COMPUTED_VALUE"""),"CA OSASUNA")</f>
        <v>CA OSASUNA</v>
      </c>
      <c r="D128" s="24">
        <f>IFERROR(__xludf.DUMMYFUNCTION("""COMPUTED_VALUE"""),1.0)</f>
        <v>1</v>
      </c>
    </row>
    <row r="129" ht="15.75" customHeight="1">
      <c r="A129" s="24">
        <f>IFERROR(__xludf.DUMMYFUNCTION("""COMPUTED_VALUE"""),236.0)</f>
        <v>236</v>
      </c>
      <c r="B129" s="24" t="str">
        <f>IFERROR(__xludf.DUMMYFUNCTION("""COMPUTED_VALUE"""),"SERGIO HERRERA")</f>
        <v>SERGIO HERRERA</v>
      </c>
      <c r="C129" s="24" t="str">
        <f>IFERROR(__xludf.DUMMYFUNCTION("""COMPUTED_VALUE"""),"CA OSASUNA")</f>
        <v>CA OSASUNA</v>
      </c>
      <c r="D129" s="24">
        <f>IFERROR(__xludf.DUMMYFUNCTION("""COMPUTED_VALUE"""),1.0)</f>
        <v>1</v>
      </c>
    </row>
    <row r="130" ht="15.75" customHeight="1">
      <c r="A130" s="24">
        <f>IFERROR(__xludf.DUMMYFUNCTION("""COMPUTED_VALUE"""),237.0)</f>
        <v>237</v>
      </c>
      <c r="B130" s="24" t="str">
        <f>IFERROR(__xludf.DUMMYFUNCTION("""COMPUTED_VALUE"""),"AITOR FERNÁNDEZ")</f>
        <v>AITOR FERNÁNDEZ</v>
      </c>
      <c r="C130" s="24" t="str">
        <f>IFERROR(__xludf.DUMMYFUNCTION("""COMPUTED_VALUE"""),"CA OSASUNA")</f>
        <v>CA OSASUNA</v>
      </c>
      <c r="D130" s="24">
        <f>IFERROR(__xludf.DUMMYFUNCTION("""COMPUTED_VALUE"""),1.0)</f>
        <v>1</v>
      </c>
    </row>
    <row r="131" ht="15.75" customHeight="1">
      <c r="A131" s="24">
        <f>IFERROR(__xludf.DUMMYFUNCTION("""COMPUTED_VALUE"""),242.0)</f>
        <v>242</v>
      </c>
      <c r="B131" s="24" t="str">
        <f>IFERROR(__xludf.DUMMYFUNCTION("""COMPUTED_VALUE"""),"JUAN CRUZ")</f>
        <v>JUAN CRUZ</v>
      </c>
      <c r="C131" s="24" t="str">
        <f>IFERROR(__xludf.DUMMYFUNCTION("""COMPUTED_VALUE"""),"CA OSASUNA")</f>
        <v>CA OSASUNA</v>
      </c>
      <c r="D131" s="24">
        <f>IFERROR(__xludf.DUMMYFUNCTION("""COMPUTED_VALUE"""),1.0)</f>
        <v>1</v>
      </c>
    </row>
    <row r="132" ht="15.75" customHeight="1">
      <c r="A132" s="24">
        <f>IFERROR(__xludf.DUMMYFUNCTION("""COMPUTED_VALUE"""),244.0)</f>
        <v>244</v>
      </c>
      <c r="B132" s="24" t="str">
        <f>IFERROR(__xludf.DUMMYFUNCTION("""COMPUTED_VALUE"""),"TORRÓ")</f>
        <v>TORRÓ</v>
      </c>
      <c r="C132" s="24" t="str">
        <f>IFERROR(__xludf.DUMMYFUNCTION("""COMPUTED_VALUE"""),"CA OSASUNA")</f>
        <v>CA OSASUNA</v>
      </c>
      <c r="D132" s="24">
        <f>IFERROR(__xludf.DUMMYFUNCTION("""COMPUTED_VALUE"""),1.0)</f>
        <v>1</v>
      </c>
    </row>
    <row r="133" ht="15.75" customHeight="1">
      <c r="A133" s="24">
        <f>IFERROR(__xludf.DUMMYFUNCTION("""COMPUTED_VALUE"""),245.0)</f>
        <v>245</v>
      </c>
      <c r="B133" s="24" t="str">
        <f>IFERROR(__xludf.DUMMYFUNCTION("""COMPUTED_VALUE"""),"MONCAYOLA")</f>
        <v>MONCAYOLA</v>
      </c>
      <c r="C133" s="24" t="str">
        <f>IFERROR(__xludf.DUMMYFUNCTION("""COMPUTED_VALUE"""),"CA OSASUNA")</f>
        <v>CA OSASUNA</v>
      </c>
      <c r="D133" s="24">
        <f>IFERROR(__xludf.DUMMYFUNCTION("""COMPUTED_VALUE"""),2.0)</f>
        <v>2</v>
      </c>
    </row>
    <row r="134" ht="15.75" customHeight="1">
      <c r="A134" s="24">
        <f>IFERROR(__xludf.DUMMYFUNCTION("""COMPUTED_VALUE"""),247.0)</f>
        <v>247</v>
      </c>
      <c r="B134" s="24" t="str">
        <f>IFERROR(__xludf.DUMMYFUNCTION("""COMPUTED_VALUE"""),"RUBÉN GARCÍA")</f>
        <v>RUBÉN GARCÍA</v>
      </c>
      <c r="C134" s="24" t="str">
        <f>IFERROR(__xludf.DUMMYFUNCTION("""COMPUTED_VALUE"""),"CA OSASUNA")</f>
        <v>CA OSASUNA</v>
      </c>
      <c r="D134" s="24">
        <f>IFERROR(__xludf.DUMMYFUNCTION("""COMPUTED_VALUE"""),1.0)</f>
        <v>1</v>
      </c>
    </row>
    <row r="135" ht="15.75" customHeight="1">
      <c r="A135" s="24">
        <f>IFERROR(__xludf.DUMMYFUNCTION("""COMPUTED_VALUE"""),248.0)</f>
        <v>248</v>
      </c>
      <c r="B135" s="24" t="str">
        <f>IFERROR(__xludf.DUMMYFUNCTION("""COMPUTED_VALUE"""),"AIMAR OROZ")</f>
        <v>AIMAR OROZ</v>
      </c>
      <c r="C135" s="24" t="str">
        <f>IFERROR(__xludf.DUMMYFUNCTION("""COMPUTED_VALUE"""),"CA OSASUNA")</f>
        <v>CA OSASUNA</v>
      </c>
      <c r="D135" s="24">
        <f>IFERROR(__xludf.DUMMYFUNCTION("""COMPUTED_VALUE"""),3.0)</f>
        <v>3</v>
      </c>
    </row>
    <row r="136" ht="15.75" customHeight="1">
      <c r="A136" s="24">
        <f>IFERROR(__xludf.DUMMYFUNCTION("""COMPUTED_VALUE"""),249.0)</f>
        <v>249</v>
      </c>
      <c r="B136" s="24" t="str">
        <f>IFERROR(__xludf.DUMMYFUNCTION("""COMPUTED_VALUE"""),"VÍCTOR MUÑOZ")</f>
        <v>VÍCTOR MUÑOZ</v>
      </c>
      <c r="C136" s="24" t="str">
        <f>IFERROR(__xludf.DUMMYFUNCTION("""COMPUTED_VALUE"""),"CA OSASUNA")</f>
        <v>CA OSASUNA</v>
      </c>
      <c r="D136" s="24">
        <f>IFERROR(__xludf.DUMMYFUNCTION("""COMPUTED_VALUE"""),1.0)</f>
        <v>1</v>
      </c>
    </row>
    <row r="137" ht="15.75" customHeight="1">
      <c r="A137" s="24">
        <f>IFERROR(__xludf.DUMMYFUNCTION("""COMPUTED_VALUE"""),250.0)</f>
        <v>250</v>
      </c>
      <c r="B137" s="24" t="str">
        <f>IFERROR(__xludf.DUMMYFUNCTION("""COMPUTED_VALUE"""),"RAÚL GARCÍA")</f>
        <v>RAÚL GARCÍA</v>
      </c>
      <c r="C137" s="24" t="str">
        <f>IFERROR(__xludf.DUMMYFUNCTION("""COMPUTED_VALUE"""),"CA OSASUNA")</f>
        <v>CA OSASUNA</v>
      </c>
      <c r="D137" s="24">
        <f>IFERROR(__xludf.DUMMYFUNCTION("""COMPUTED_VALUE"""),2.0)</f>
        <v>2</v>
      </c>
    </row>
    <row r="138" ht="15.75" customHeight="1">
      <c r="A138" s="24">
        <f>IFERROR(__xludf.DUMMYFUNCTION("""COMPUTED_VALUE"""),254.0)</f>
        <v>254</v>
      </c>
      <c r="B138" s="24" t="str">
        <f>IFERROR(__xludf.DUMMYFUNCTION("""COMPUTED_VALUE"""),"AARON ESCANDELL")</f>
        <v>AARON ESCANDELL</v>
      </c>
      <c r="C138" s="24" t="str">
        <f>IFERROR(__xludf.DUMMYFUNCTION("""COMPUTED_VALUE"""),"REAL OVIEDO")</f>
        <v>REAL OVIEDO</v>
      </c>
      <c r="D138" s="24">
        <f>IFERROR(__xludf.DUMMYFUNCTION("""COMPUTED_VALUE"""),1.0)</f>
        <v>1</v>
      </c>
    </row>
    <row r="139" ht="15.75" customHeight="1">
      <c r="A139" s="24">
        <f>IFERROR(__xludf.DUMMYFUNCTION("""COMPUTED_VALUE"""),255.0)</f>
        <v>255</v>
      </c>
      <c r="B139" s="24" t="str">
        <f>IFERROR(__xludf.DUMMYFUNCTION("""COMPUTED_VALUE"""),"MOLDOVAN")</f>
        <v>MOLDOVAN</v>
      </c>
      <c r="C139" s="24" t="str">
        <f>IFERROR(__xludf.DUMMYFUNCTION("""COMPUTED_VALUE"""),"REAL OVIEDO")</f>
        <v>REAL OVIEDO</v>
      </c>
      <c r="D139" s="24">
        <f>IFERROR(__xludf.DUMMYFUNCTION("""COMPUTED_VALUE"""),1.0)</f>
        <v>1</v>
      </c>
    </row>
    <row r="140" ht="15.75" customHeight="1">
      <c r="A140" s="24">
        <f>IFERROR(__xludf.DUMMYFUNCTION("""COMPUTED_VALUE"""),256.0)</f>
        <v>256</v>
      </c>
      <c r="B140" s="24" t="str">
        <f>IFERROR(__xludf.DUMMYFUNCTION("""COMPUTED_VALUE"""),"NACHO VIDAL")</f>
        <v>NACHO VIDAL</v>
      </c>
      <c r="C140" s="24" t="str">
        <f>IFERROR(__xludf.DUMMYFUNCTION("""COMPUTED_VALUE"""),"REAL OVIEDO")</f>
        <v>REAL OVIEDO</v>
      </c>
      <c r="D140" s="24">
        <f>IFERROR(__xludf.DUMMYFUNCTION("""COMPUTED_VALUE"""),1.0)</f>
        <v>1</v>
      </c>
    </row>
    <row r="141" ht="15.75" customHeight="1">
      <c r="A141" s="24">
        <f>IFERROR(__xludf.DUMMYFUNCTION("""COMPUTED_VALUE"""),257.0)</f>
        <v>257</v>
      </c>
      <c r="B141" s="24" t="str">
        <f>IFERROR(__xludf.DUMMYFUNCTION("""COMPUTED_VALUE"""),"ERIC BAILLY")</f>
        <v>ERIC BAILLY</v>
      </c>
      <c r="C141" s="24" t="str">
        <f>IFERROR(__xludf.DUMMYFUNCTION("""COMPUTED_VALUE"""),"REAL OVIEDO")</f>
        <v>REAL OVIEDO</v>
      </c>
      <c r="D141" s="24">
        <f>IFERROR(__xludf.DUMMYFUNCTION("""COMPUTED_VALUE"""),1.0)</f>
        <v>1</v>
      </c>
    </row>
    <row r="142" ht="15.75" customHeight="1">
      <c r="A142" s="24">
        <f>IFERROR(__xludf.DUMMYFUNCTION("""COMPUTED_VALUE"""),258.0)</f>
        <v>258</v>
      </c>
      <c r="B142" s="24" t="str">
        <f>IFERROR(__xludf.DUMMYFUNCTION("""COMPUTED_VALUE"""),"DAVID CARMO")</f>
        <v>DAVID CARMO</v>
      </c>
      <c r="C142" s="24" t="str">
        <f>IFERROR(__xludf.DUMMYFUNCTION("""COMPUTED_VALUE"""),"REAL OVIEDO")</f>
        <v>REAL OVIEDO</v>
      </c>
      <c r="D142" s="24">
        <f>IFERROR(__xludf.DUMMYFUNCTION("""COMPUTED_VALUE"""),1.0)</f>
        <v>1</v>
      </c>
    </row>
    <row r="143" ht="15.75" customHeight="1">
      <c r="A143" s="24">
        <f>IFERROR(__xludf.DUMMYFUNCTION("""COMPUTED_VALUE"""),259.0)</f>
        <v>259</v>
      </c>
      <c r="B143" s="24" t="str">
        <f>IFERROR(__xludf.DUMMYFUNCTION("""COMPUTED_VALUE"""),"DANI CALVO")</f>
        <v>DANI CALVO</v>
      </c>
      <c r="C143" s="24" t="str">
        <f>IFERROR(__xludf.DUMMYFUNCTION("""COMPUTED_VALUE"""),"REAL OVIEDO")</f>
        <v>REAL OVIEDO</v>
      </c>
      <c r="D143" s="24">
        <f>IFERROR(__xludf.DUMMYFUNCTION("""COMPUTED_VALUE"""),2.0)</f>
        <v>2</v>
      </c>
    </row>
    <row r="144" ht="15.75" customHeight="1">
      <c r="A144" s="24">
        <f>IFERROR(__xludf.DUMMYFUNCTION("""COMPUTED_VALUE"""),260.0)</f>
        <v>260</v>
      </c>
      <c r="B144" s="24" t="str">
        <f>IFERROR(__xludf.DUMMYFUNCTION("""COMPUTED_VALUE"""),"RAHIM ALHASSANE")</f>
        <v>RAHIM ALHASSANE</v>
      </c>
      <c r="C144" s="24" t="str">
        <f>IFERROR(__xludf.DUMMYFUNCTION("""COMPUTED_VALUE"""),"REAL OVIEDO")</f>
        <v>REAL OVIEDO</v>
      </c>
      <c r="D144" s="24">
        <f>IFERROR(__xludf.DUMMYFUNCTION("""COMPUTED_VALUE"""),2.0)</f>
        <v>2</v>
      </c>
    </row>
    <row r="145" ht="15.75" customHeight="1">
      <c r="A145" s="24">
        <f>IFERROR(__xludf.DUMMYFUNCTION("""COMPUTED_VALUE"""),262.0)</f>
        <v>262</v>
      </c>
      <c r="B145" s="24" t="str">
        <f>IFERROR(__xludf.DUMMYFUNCTION("""COMPUTED_VALUE"""),"REINA")</f>
        <v>REINA</v>
      </c>
      <c r="C145" s="24" t="str">
        <f>IFERROR(__xludf.DUMMYFUNCTION("""COMPUTED_VALUE"""),"REAL OVIEDO")</f>
        <v>REAL OVIEDO</v>
      </c>
      <c r="D145" s="24">
        <f>IFERROR(__xludf.DUMMYFUNCTION("""COMPUTED_VALUE"""),1.0)</f>
        <v>1</v>
      </c>
    </row>
    <row r="146" ht="15.75" customHeight="1">
      <c r="A146" s="24">
        <f>IFERROR(__xludf.DUMMYFUNCTION("""COMPUTED_VALUE"""),265.0)</f>
        <v>265</v>
      </c>
      <c r="B146" s="24" t="str">
        <f>IFERROR(__xludf.DUMMYFUNCTION("""COMPUTED_VALUE"""),"ILIC")</f>
        <v>ILIC</v>
      </c>
      <c r="C146" s="24" t="str">
        <f>IFERROR(__xludf.DUMMYFUNCTION("""COMPUTED_VALUE"""),"REAL OVIEDO")</f>
        <v>REAL OVIEDO</v>
      </c>
      <c r="D146" s="24">
        <f>IFERROR(__xludf.DUMMYFUNCTION("""COMPUTED_VALUE"""),2.0)</f>
        <v>2</v>
      </c>
    </row>
    <row r="147" ht="15.75" customHeight="1">
      <c r="A147" s="24">
        <f>IFERROR(__xludf.DUMMYFUNCTION("""COMPUTED_VALUE"""),266.0)</f>
        <v>266</v>
      </c>
      <c r="B147" s="24" t="str">
        <f>IFERROR(__xludf.DUMMYFUNCTION("""COMPUTED_VALUE"""),"HASSAN")</f>
        <v>HASSAN</v>
      </c>
      <c r="C147" s="24" t="str">
        <f>IFERROR(__xludf.DUMMYFUNCTION("""COMPUTED_VALUE"""),"REAL OVIEDO")</f>
        <v>REAL OVIEDO</v>
      </c>
      <c r="D147" s="24">
        <f>IFERROR(__xludf.DUMMYFUNCTION("""COMPUTED_VALUE"""),1.0)</f>
        <v>1</v>
      </c>
    </row>
    <row r="148" ht="15.75" customHeight="1">
      <c r="A148" s="24">
        <f>IFERROR(__xludf.DUMMYFUNCTION("""COMPUTED_VALUE"""),267.0)</f>
        <v>267</v>
      </c>
      <c r="B148" s="24" t="str">
        <f>IFERROR(__xludf.DUMMYFUNCTION("""COMPUTED_VALUE"""),"BREKALO")</f>
        <v>BREKALO</v>
      </c>
      <c r="C148" s="24" t="str">
        <f>IFERROR(__xludf.DUMMYFUNCTION("""COMPUTED_VALUE"""),"REAL OVIEDO")</f>
        <v>REAL OVIEDO</v>
      </c>
      <c r="D148" s="24">
        <f>IFERROR(__xludf.DUMMYFUNCTION("""COMPUTED_VALUE"""),1.0)</f>
        <v>1</v>
      </c>
    </row>
    <row r="149" ht="15.75" customHeight="1">
      <c r="A149" s="24">
        <f>IFERROR(__xludf.DUMMYFUNCTION("""COMPUTED_VALUE"""),269.0)</f>
        <v>269</v>
      </c>
      <c r="B149" s="24" t="str">
        <f>IFERROR(__xludf.DUMMYFUNCTION("""COMPUTED_VALUE"""),"FEDE VIÑAS")</f>
        <v>FEDE VIÑAS</v>
      </c>
      <c r="C149" s="24" t="str">
        <f>IFERROR(__xludf.DUMMYFUNCTION("""COMPUTED_VALUE"""),"REAL OVIEDO")</f>
        <v>REAL OVIEDO</v>
      </c>
      <c r="D149" s="24">
        <f>IFERROR(__xludf.DUMMYFUNCTION("""COMPUTED_VALUE"""),1.0)</f>
        <v>1</v>
      </c>
    </row>
    <row r="150" ht="15.75" customHeight="1">
      <c r="A150" s="24">
        <f>IFERROR(__xludf.DUMMYFUNCTION("""COMPUTED_VALUE"""),273.0)</f>
        <v>273</v>
      </c>
      <c r="B150" s="24" t="str">
        <f>IFERROR(__xludf.DUMMYFUNCTION("""COMPUTED_VALUE"""),"CÁRDENAS")</f>
        <v>CÁRDENAS</v>
      </c>
      <c r="C150" s="24" t="str">
        <f>IFERROR(__xludf.DUMMYFUNCTION("""COMPUTED_VALUE"""),"RAYO VALLECANO")</f>
        <v>RAYO VALLECANO</v>
      </c>
      <c r="D150" s="24">
        <f>IFERROR(__xludf.DUMMYFUNCTION("""COMPUTED_VALUE"""),1.0)</f>
        <v>1</v>
      </c>
    </row>
    <row r="151" ht="15.75" customHeight="1">
      <c r="A151" s="24">
        <f>IFERROR(__xludf.DUMMYFUNCTION("""COMPUTED_VALUE"""),274.0)</f>
        <v>274</v>
      </c>
      <c r="B151" s="24" t="str">
        <f>IFERROR(__xludf.DUMMYFUNCTION("""COMPUTED_VALUE"""),"RATIU")</f>
        <v>RATIU</v>
      </c>
      <c r="C151" s="24" t="str">
        <f>IFERROR(__xludf.DUMMYFUNCTION("""COMPUTED_VALUE"""),"RAYO VALLECANO")</f>
        <v>RAYO VALLECANO</v>
      </c>
      <c r="D151" s="24">
        <f>IFERROR(__xludf.DUMMYFUNCTION("""COMPUTED_VALUE"""),1.0)</f>
        <v>1</v>
      </c>
    </row>
    <row r="152" ht="15.75" customHeight="1">
      <c r="A152" s="24">
        <f>IFERROR(__xludf.DUMMYFUNCTION("""COMPUTED_VALUE"""),277.0)</f>
        <v>277</v>
      </c>
      <c r="B152" s="24" t="str">
        <f>IFERROR(__xludf.DUMMYFUNCTION("""COMPUTED_VALUE"""),"LUIZ FELIPE")</f>
        <v>LUIZ FELIPE</v>
      </c>
      <c r="C152" s="24" t="str">
        <f>IFERROR(__xludf.DUMMYFUNCTION("""COMPUTED_VALUE"""),"RAYO VALLECANO")</f>
        <v>RAYO VALLECANO</v>
      </c>
      <c r="D152" s="24">
        <f>IFERROR(__xludf.DUMMYFUNCTION("""COMPUTED_VALUE"""),1.0)</f>
        <v>1</v>
      </c>
    </row>
    <row r="153" ht="15.75" customHeight="1">
      <c r="A153" s="24">
        <f>IFERROR(__xludf.DUMMYFUNCTION("""COMPUTED_VALUE"""),278.0)</f>
        <v>278</v>
      </c>
      <c r="B153" s="24" t="str">
        <f>IFERROR(__xludf.DUMMYFUNCTION("""COMPUTED_VALUE"""),"PEP CHAVARRÍA")</f>
        <v>PEP CHAVARRÍA</v>
      </c>
      <c r="C153" s="24" t="str">
        <f>IFERROR(__xludf.DUMMYFUNCTION("""COMPUTED_VALUE"""),"RAYO VALLECANO")</f>
        <v>RAYO VALLECANO</v>
      </c>
      <c r="D153" s="24">
        <f>IFERROR(__xludf.DUMMYFUNCTION("""COMPUTED_VALUE"""),2.0)</f>
        <v>2</v>
      </c>
    </row>
    <row r="154" ht="15.75" customHeight="1">
      <c r="A154" s="24">
        <f>IFERROR(__xludf.DUMMYFUNCTION("""COMPUTED_VALUE"""),279.0)</f>
        <v>279</v>
      </c>
      <c r="B154" s="24" t="str">
        <f>IFERROR(__xludf.DUMMYFUNCTION("""COMPUTED_VALUE"""),"PATHÉ CISS")</f>
        <v>PATHÉ CISS</v>
      </c>
      <c r="C154" s="24" t="str">
        <f>IFERROR(__xludf.DUMMYFUNCTION("""COMPUTED_VALUE"""),"RAYO VALLECANO")</f>
        <v>RAYO VALLECANO</v>
      </c>
      <c r="D154" s="24">
        <f>IFERROR(__xludf.DUMMYFUNCTION("""COMPUTED_VALUE"""),1.0)</f>
        <v>1</v>
      </c>
    </row>
    <row r="155" ht="15.75" customHeight="1">
      <c r="A155" s="24">
        <f>IFERROR(__xludf.DUMMYFUNCTION("""COMPUTED_VALUE"""),281.0)</f>
        <v>281</v>
      </c>
      <c r="B155" s="24" t="str">
        <f>IFERROR(__xludf.DUMMYFUNCTION("""COMPUTED_VALUE"""),"ÓSCAR VALENTÍN")</f>
        <v>ÓSCAR VALENTÍN</v>
      </c>
      <c r="C155" s="24" t="str">
        <f>IFERROR(__xludf.DUMMYFUNCTION("""COMPUTED_VALUE"""),"RAYO VALLECANO")</f>
        <v>RAYO VALLECANO</v>
      </c>
      <c r="D155" s="24">
        <f>IFERROR(__xludf.DUMMYFUNCTION("""COMPUTED_VALUE"""),2.0)</f>
        <v>2</v>
      </c>
    </row>
    <row r="156" ht="15.75" customHeight="1">
      <c r="A156" s="24">
        <f>IFERROR(__xludf.DUMMYFUNCTION("""COMPUTED_VALUE"""),282.0)</f>
        <v>282</v>
      </c>
      <c r="B156" s="24" t="str">
        <f>IFERROR(__xludf.DUMMYFUNCTION("""COMPUTED_VALUE"""),"ISI")</f>
        <v>ISI</v>
      </c>
      <c r="C156" s="24" t="str">
        <f>IFERROR(__xludf.DUMMYFUNCTION("""COMPUTED_VALUE"""),"RAYO VALLECANO")</f>
        <v>RAYO VALLECANO</v>
      </c>
      <c r="D156" s="24">
        <f>IFERROR(__xludf.DUMMYFUNCTION("""COMPUTED_VALUE"""),1.0)</f>
        <v>1</v>
      </c>
    </row>
    <row r="157" ht="15.75" customHeight="1">
      <c r="A157" s="24">
        <f>IFERROR(__xludf.DUMMYFUNCTION("""COMPUTED_VALUE"""),283.0)</f>
        <v>283</v>
      </c>
      <c r="B157" s="24" t="str">
        <f>IFERROR(__xludf.DUMMYFUNCTION("""COMPUTED_VALUE"""),"PEDRO DÍAZ")</f>
        <v>PEDRO DÍAZ</v>
      </c>
      <c r="C157" s="24" t="str">
        <f>IFERROR(__xludf.DUMMYFUNCTION("""COMPUTED_VALUE"""),"RAYO VALLECANO")</f>
        <v>RAYO VALLECANO</v>
      </c>
      <c r="D157" s="24">
        <f>IFERROR(__xludf.DUMMYFUNCTION("""COMPUTED_VALUE"""),1.0)</f>
        <v>1</v>
      </c>
    </row>
    <row r="158" ht="15.75" customHeight="1">
      <c r="A158" s="24">
        <f>IFERROR(__xludf.DUMMYFUNCTION("""COMPUTED_VALUE"""),284.0)</f>
        <v>284</v>
      </c>
      <c r="B158" s="24" t="str">
        <f>IFERROR(__xludf.DUMMYFUNCTION("""COMPUTED_VALUE"""),"ÁLVARO GARCÍA")</f>
        <v>ÁLVARO GARCÍA</v>
      </c>
      <c r="C158" s="24" t="str">
        <f>IFERROR(__xludf.DUMMYFUNCTION("""COMPUTED_VALUE"""),"RAYO VALLECANO")</f>
        <v>RAYO VALLECANO</v>
      </c>
      <c r="D158" s="24">
        <f>IFERROR(__xludf.DUMMYFUNCTION("""COMPUTED_VALUE"""),1.0)</f>
        <v>1</v>
      </c>
    </row>
    <row r="159" ht="15.75" customHeight="1">
      <c r="A159" s="24">
        <f>IFERROR(__xludf.DUMMYFUNCTION("""COMPUTED_VALUE"""),285.0)</f>
        <v>285</v>
      </c>
      <c r="B159" s="24" t="str">
        <f>IFERROR(__xludf.DUMMYFUNCTION("""COMPUTED_VALUE"""),"FRAN PÉREZ")</f>
        <v>FRAN PÉREZ</v>
      </c>
      <c r="C159" s="24" t="str">
        <f>IFERROR(__xludf.DUMMYFUNCTION("""COMPUTED_VALUE"""),"RAYO VALLECANO")</f>
        <v>RAYO VALLECANO</v>
      </c>
      <c r="D159" s="24">
        <f>IFERROR(__xludf.DUMMYFUNCTION("""COMPUTED_VALUE"""),1.0)</f>
        <v>1</v>
      </c>
    </row>
    <row r="160" ht="15.75" customHeight="1">
      <c r="A160" s="24">
        <f>IFERROR(__xludf.DUMMYFUNCTION("""COMPUTED_VALUE"""),286.0)</f>
        <v>286</v>
      </c>
      <c r="B160" s="24" t="str">
        <f>IFERROR(__xludf.DUMMYFUNCTION("""COMPUTED_VALUE"""),"CAMELLO")</f>
        <v>CAMELLO</v>
      </c>
      <c r="C160" s="24" t="str">
        <f>IFERROR(__xludf.DUMMYFUNCTION("""COMPUTED_VALUE"""),"RAYO VALLECANO")</f>
        <v>RAYO VALLECANO</v>
      </c>
      <c r="D160" s="24">
        <f>IFERROR(__xludf.DUMMYFUNCTION("""COMPUTED_VALUE"""),2.0)</f>
        <v>2</v>
      </c>
    </row>
    <row r="161" ht="15.75" customHeight="1">
      <c r="A161" s="24">
        <f>IFERROR(__xludf.DUMMYFUNCTION("""COMPUTED_VALUE"""),289.0)</f>
        <v>289</v>
      </c>
      <c r="B161" s="24" t="str">
        <f>IFERROR(__xludf.DUMMYFUNCTION("""COMPUTED_VALUE"""),"ESCUDO")</f>
        <v>ESCUDO</v>
      </c>
      <c r="C161" s="24" t="str">
        <f>IFERROR(__xludf.DUMMYFUNCTION("""COMPUTED_VALUE"""),"REAL SOCIEDAD")</f>
        <v>REAL SOCIEDAD</v>
      </c>
      <c r="D161" s="24">
        <f>IFERROR(__xludf.DUMMYFUNCTION("""COMPUTED_VALUE"""),1.0)</f>
        <v>1</v>
      </c>
    </row>
    <row r="162" ht="15.75" customHeight="1">
      <c r="A162" s="24">
        <f>IFERROR(__xludf.DUMMYFUNCTION("""COMPUTED_VALUE"""),290.0)</f>
        <v>290</v>
      </c>
      <c r="B162" s="24" t="str">
        <f>IFERROR(__xludf.DUMMYFUNCTION("""COMPUTED_VALUE"""),"REMIRO")</f>
        <v>REMIRO</v>
      </c>
      <c r="C162" s="24" t="str">
        <f>IFERROR(__xludf.DUMMYFUNCTION("""COMPUTED_VALUE"""),"REAL SOCIEDAD")</f>
        <v>REAL SOCIEDAD</v>
      </c>
      <c r="D162" s="24">
        <f>IFERROR(__xludf.DUMMYFUNCTION("""COMPUTED_VALUE"""),3.0)</f>
        <v>3</v>
      </c>
    </row>
    <row r="163" ht="15.75" customHeight="1">
      <c r="A163" s="24">
        <f>IFERROR(__xludf.DUMMYFUNCTION("""COMPUTED_VALUE"""),291.0)</f>
        <v>291</v>
      </c>
      <c r="B163" s="24" t="str">
        <f>IFERROR(__xludf.DUMMYFUNCTION("""COMPUTED_VALUE"""),"MARRERO")</f>
        <v>MARRERO</v>
      </c>
      <c r="C163" s="24" t="str">
        <f>IFERROR(__xludf.DUMMYFUNCTION("""COMPUTED_VALUE"""),"REAL SOCIEDAD")</f>
        <v>REAL SOCIEDAD</v>
      </c>
      <c r="D163" s="24">
        <f>IFERROR(__xludf.DUMMYFUNCTION("""COMPUTED_VALUE"""),1.0)</f>
        <v>1</v>
      </c>
    </row>
    <row r="164" ht="15.75" customHeight="1">
      <c r="A164" s="24">
        <f>IFERROR(__xludf.DUMMYFUNCTION("""COMPUTED_VALUE"""),292.0)</f>
        <v>292</v>
      </c>
      <c r="B164" s="24" t="str">
        <f>IFERROR(__xludf.DUMMYFUNCTION("""COMPUTED_VALUE"""),"ARAMBURU")</f>
        <v>ARAMBURU</v>
      </c>
      <c r="C164" s="24" t="str">
        <f>IFERROR(__xludf.DUMMYFUNCTION("""COMPUTED_VALUE"""),"REAL SOCIEDAD")</f>
        <v>REAL SOCIEDAD</v>
      </c>
      <c r="D164" s="24">
        <f>IFERROR(__xludf.DUMMYFUNCTION("""COMPUTED_VALUE"""),2.0)</f>
        <v>2</v>
      </c>
    </row>
    <row r="165" ht="15.75" customHeight="1">
      <c r="A165" s="24">
        <f>IFERROR(__xludf.DUMMYFUNCTION("""COMPUTED_VALUE"""),293.0)</f>
        <v>293</v>
      </c>
      <c r="B165" s="24" t="str">
        <f>IFERROR(__xludf.DUMMYFUNCTION("""COMPUTED_VALUE"""),"ARITZ ELUSTONDO")</f>
        <v>ARITZ ELUSTONDO</v>
      </c>
      <c r="C165" s="24" t="str">
        <f>IFERROR(__xludf.DUMMYFUNCTION("""COMPUTED_VALUE"""),"REAL SOCIEDAD")</f>
        <v>REAL SOCIEDAD</v>
      </c>
      <c r="D165" s="24">
        <f>IFERROR(__xludf.DUMMYFUNCTION("""COMPUTED_VALUE"""),1.0)</f>
        <v>1</v>
      </c>
    </row>
    <row r="166" ht="15.75" customHeight="1">
      <c r="A166" s="24">
        <f>IFERROR(__xludf.DUMMYFUNCTION("""COMPUTED_VALUE"""),294.0)</f>
        <v>294</v>
      </c>
      <c r="B166" s="24" t="str">
        <f>IFERROR(__xludf.DUMMYFUNCTION("""COMPUTED_VALUE"""),"ZUBELDIA")</f>
        <v>ZUBELDIA</v>
      </c>
      <c r="C166" s="24" t="str">
        <f>IFERROR(__xludf.DUMMYFUNCTION("""COMPUTED_VALUE"""),"REAL SOCIEDAD")</f>
        <v>REAL SOCIEDAD</v>
      </c>
      <c r="D166" s="24">
        <f>IFERROR(__xludf.DUMMYFUNCTION("""COMPUTED_VALUE"""),1.0)</f>
        <v>1</v>
      </c>
    </row>
    <row r="167" ht="15.75" customHeight="1">
      <c r="A167" s="24">
        <f>IFERROR(__xludf.DUMMYFUNCTION("""COMPUTED_VALUE"""),295.0)</f>
        <v>295</v>
      </c>
      <c r="B167" s="24" t="str">
        <f>IFERROR(__xludf.DUMMYFUNCTION("""COMPUTED_VALUE"""),"CALETA-CAR")</f>
        <v>CALETA-CAR</v>
      </c>
      <c r="C167" s="24" t="str">
        <f>IFERROR(__xludf.DUMMYFUNCTION("""COMPUTED_VALUE"""),"REAL SOCIEDAD")</f>
        <v>REAL SOCIEDAD</v>
      </c>
      <c r="D167" s="24">
        <f>IFERROR(__xludf.DUMMYFUNCTION("""COMPUTED_VALUE"""),2.0)</f>
        <v>2</v>
      </c>
    </row>
    <row r="168" ht="15.75" customHeight="1">
      <c r="A168" s="24">
        <f>IFERROR(__xludf.DUMMYFUNCTION("""COMPUTED_VALUE"""),296.0)</f>
        <v>296</v>
      </c>
      <c r="B168" s="24" t="str">
        <f>IFERROR(__xludf.DUMMYFUNCTION("""COMPUTED_VALUE"""),"SERGIO GÓMEZ")</f>
        <v>SERGIO GÓMEZ</v>
      </c>
      <c r="C168" s="24" t="str">
        <f>IFERROR(__xludf.DUMMYFUNCTION("""COMPUTED_VALUE"""),"REAL SOCIEDAD")</f>
        <v>REAL SOCIEDAD</v>
      </c>
      <c r="D168" s="24">
        <f>IFERROR(__xludf.DUMMYFUNCTION("""COMPUTED_VALUE"""),2.0)</f>
        <v>2</v>
      </c>
    </row>
    <row r="169" ht="15.75" customHeight="1">
      <c r="A169" s="24">
        <f>IFERROR(__xludf.DUMMYFUNCTION("""COMPUTED_VALUE"""),299.0)</f>
        <v>299</v>
      </c>
      <c r="B169" s="24" t="str">
        <f>IFERROR(__xludf.DUMMYFUNCTION("""COMPUTED_VALUE"""),"PABLO MARIN")</f>
        <v>PABLO MARIN</v>
      </c>
      <c r="C169" s="24" t="str">
        <f>IFERROR(__xludf.DUMMYFUNCTION("""COMPUTED_VALUE"""),"REAL SOCIEDAD")</f>
        <v>REAL SOCIEDAD</v>
      </c>
      <c r="D169" s="24">
        <f>IFERROR(__xludf.DUMMYFUNCTION("""COMPUTED_VALUE"""),1.0)</f>
        <v>1</v>
      </c>
    </row>
    <row r="170" ht="15.75" customHeight="1">
      <c r="A170" s="24">
        <f>IFERROR(__xludf.DUMMYFUNCTION("""COMPUTED_VALUE"""),300.0)</f>
        <v>300</v>
      </c>
      <c r="B170" s="24" t="str">
        <f>IFERROR(__xludf.DUMMYFUNCTION("""COMPUTED_VALUE"""),"CARLOS SOLER")</f>
        <v>CARLOS SOLER</v>
      </c>
      <c r="C170" s="24" t="str">
        <f>IFERROR(__xludf.DUMMYFUNCTION("""COMPUTED_VALUE"""),"REAL SOCIEDAD")</f>
        <v>REAL SOCIEDAD</v>
      </c>
      <c r="D170" s="24">
        <f>IFERROR(__xludf.DUMMYFUNCTION("""COMPUTED_VALUE"""),1.0)</f>
        <v>1</v>
      </c>
    </row>
    <row r="171" ht="15.75" customHeight="1">
      <c r="A171" s="24">
        <f>IFERROR(__xludf.DUMMYFUNCTION("""COMPUTED_VALUE"""),302.0)</f>
        <v>302</v>
      </c>
      <c r="B171" s="24" t="str">
        <f>IFERROR(__xludf.DUMMYFUNCTION("""COMPUTED_VALUE"""),"KUBO")</f>
        <v>KUBO</v>
      </c>
      <c r="C171" s="24" t="str">
        <f>IFERROR(__xludf.DUMMYFUNCTION("""COMPUTED_VALUE"""),"REAL SOCIEDAD")</f>
        <v>REAL SOCIEDAD</v>
      </c>
      <c r="D171" s="24">
        <f>IFERROR(__xludf.DUMMYFUNCTION("""COMPUTED_VALUE"""),2.0)</f>
        <v>2</v>
      </c>
    </row>
    <row r="172" ht="15.75" customHeight="1">
      <c r="A172" s="24">
        <f>IFERROR(__xludf.DUMMYFUNCTION("""COMPUTED_VALUE"""),306.0)</f>
        <v>306</v>
      </c>
      <c r="B172" s="24" t="str">
        <f>IFERROR(__xludf.DUMMYFUNCTION("""COMPUTED_VALUE"""),"GUEDES")</f>
        <v>GUEDES</v>
      </c>
      <c r="C172" s="24" t="str">
        <f>IFERROR(__xludf.DUMMYFUNCTION("""COMPUTED_VALUE"""),"REAL SOCIEDAD")</f>
        <v>REAL SOCIEDAD</v>
      </c>
      <c r="D172" s="24">
        <f>IFERROR(__xludf.DUMMYFUNCTION("""COMPUTED_VALUE"""),1.0)</f>
        <v>1</v>
      </c>
    </row>
    <row r="173" ht="15.75" customHeight="1">
      <c r="A173" s="24">
        <f>IFERROR(__xludf.DUMMYFUNCTION("""COMPUTED_VALUE"""),308.0)</f>
        <v>308</v>
      </c>
      <c r="B173" s="24" t="str">
        <f>IFERROR(__xludf.DUMMYFUNCTION("""COMPUTED_VALUE"""),"VLACHODIMOS")</f>
        <v>VLACHODIMOS</v>
      </c>
      <c r="C173" s="24" t="str">
        <f>IFERROR(__xludf.DUMMYFUNCTION("""COMPUTED_VALUE"""),"SEVILLA FC")</f>
        <v>SEVILLA FC</v>
      </c>
      <c r="D173" s="24">
        <f>IFERROR(__xludf.DUMMYFUNCTION("""COMPUTED_VALUE"""),1.0)</f>
        <v>1</v>
      </c>
    </row>
    <row r="174" ht="15.75" customHeight="1">
      <c r="A174" s="24">
        <f>IFERROR(__xludf.DUMMYFUNCTION("""COMPUTED_VALUE"""),309.0)</f>
        <v>309</v>
      </c>
      <c r="B174" s="24" t="str">
        <f>IFERROR(__xludf.DUMMYFUNCTION("""COMPUTED_VALUE"""),"NYLAND")</f>
        <v>NYLAND</v>
      </c>
      <c r="C174" s="24" t="str">
        <f>IFERROR(__xludf.DUMMYFUNCTION("""COMPUTED_VALUE"""),"SEVILLA FC")</f>
        <v>SEVILLA FC</v>
      </c>
      <c r="D174" s="24">
        <f>IFERROR(__xludf.DUMMYFUNCTION("""COMPUTED_VALUE"""),1.0)</f>
        <v>1</v>
      </c>
    </row>
    <row r="175" ht="15.75" customHeight="1">
      <c r="A175" s="24">
        <f>IFERROR(__xludf.DUMMYFUNCTION("""COMPUTED_VALUE"""),312.0)</f>
        <v>312</v>
      </c>
      <c r="B175" s="24" t="str">
        <f>IFERROR(__xludf.DUMMYFUNCTION("""COMPUTED_VALUE"""),"AZPILICUETA")</f>
        <v>AZPILICUETA</v>
      </c>
      <c r="C175" s="24" t="str">
        <f>IFERROR(__xludf.DUMMYFUNCTION("""COMPUTED_VALUE"""),"SEVILLA FC")</f>
        <v>SEVILLA FC</v>
      </c>
      <c r="D175" s="24">
        <f>IFERROR(__xludf.DUMMYFUNCTION("""COMPUTED_VALUE"""),2.0)</f>
        <v>2</v>
      </c>
    </row>
    <row r="176" ht="15.75" customHeight="1">
      <c r="A176" s="24">
        <f>IFERROR(__xludf.DUMMYFUNCTION("""COMPUTED_VALUE"""),313.0)</f>
        <v>313</v>
      </c>
      <c r="B176" s="24" t="str">
        <f>IFERROR(__xludf.DUMMYFUNCTION("""COMPUTED_VALUE"""),"KIKE SALAS")</f>
        <v>KIKE SALAS</v>
      </c>
      <c r="C176" s="24" t="str">
        <f>IFERROR(__xludf.DUMMYFUNCTION("""COMPUTED_VALUE"""),"SEVILLA FC")</f>
        <v>SEVILLA FC</v>
      </c>
      <c r="D176" s="24">
        <f>IFERROR(__xludf.DUMMYFUNCTION("""COMPUTED_VALUE"""),1.0)</f>
        <v>1</v>
      </c>
    </row>
    <row r="177" ht="15.75" customHeight="1">
      <c r="A177" s="24">
        <f>IFERROR(__xludf.DUMMYFUNCTION("""COMPUTED_VALUE"""),314.0)</f>
        <v>314</v>
      </c>
      <c r="B177" s="24" t="str">
        <f>IFERROR(__xludf.DUMMYFUNCTION("""COMPUTED_VALUE"""),"MARCAO")</f>
        <v>MARCAO</v>
      </c>
      <c r="C177" s="24" t="str">
        <f>IFERROR(__xludf.DUMMYFUNCTION("""COMPUTED_VALUE"""),"SEVILLA FC")</f>
        <v>SEVILLA FC</v>
      </c>
      <c r="D177" s="24">
        <f>IFERROR(__xludf.DUMMYFUNCTION("""COMPUTED_VALUE"""),1.0)</f>
        <v>1</v>
      </c>
    </row>
    <row r="178" ht="15.75" customHeight="1">
      <c r="A178" s="24">
        <f>IFERROR(__xludf.DUMMYFUNCTION("""COMPUTED_VALUE"""),316.0)</f>
        <v>316</v>
      </c>
      <c r="B178" s="24" t="str">
        <f>IFERROR(__xludf.DUMMYFUNCTION("""COMPUTED_VALUE"""),"GUDELJ")</f>
        <v>GUDELJ</v>
      </c>
      <c r="C178" s="24" t="str">
        <f>IFERROR(__xludf.DUMMYFUNCTION("""COMPUTED_VALUE"""),"SEVILLA FC")</f>
        <v>SEVILLA FC</v>
      </c>
      <c r="D178" s="24">
        <f>IFERROR(__xludf.DUMMYFUNCTION("""COMPUTED_VALUE"""),1.0)</f>
        <v>1</v>
      </c>
    </row>
    <row r="179" ht="15.75" customHeight="1">
      <c r="A179" s="24">
        <f>IFERROR(__xludf.DUMMYFUNCTION("""COMPUTED_VALUE"""),317.0)</f>
        <v>317</v>
      </c>
      <c r="B179" s="24" t="str">
        <f>IFERROR(__xludf.DUMMYFUNCTION("""COMPUTED_VALUE"""),"AGOUME")</f>
        <v>AGOUME</v>
      </c>
      <c r="C179" s="24" t="str">
        <f>IFERROR(__xludf.DUMMYFUNCTION("""COMPUTED_VALUE"""),"SEVILLA FC")</f>
        <v>SEVILLA FC</v>
      </c>
      <c r="D179" s="24">
        <f>IFERROR(__xludf.DUMMYFUNCTION("""COMPUTED_VALUE"""),2.0)</f>
        <v>2</v>
      </c>
    </row>
    <row r="180" ht="15.75" customHeight="1">
      <c r="A180" s="24">
        <f>IFERROR(__xludf.DUMMYFUNCTION("""COMPUTED_VALUE"""),319.0)</f>
        <v>319</v>
      </c>
      <c r="B180" s="24" t="str">
        <f>IFERROR(__xludf.DUMMYFUNCTION("""COMPUTED_VALUE"""),"BATISTA MENDY")</f>
        <v>BATISTA MENDY</v>
      </c>
      <c r="C180" s="24" t="str">
        <f>IFERROR(__xludf.DUMMYFUNCTION("""COMPUTED_VALUE"""),"SEVILLA FC")</f>
        <v>SEVILLA FC</v>
      </c>
      <c r="D180" s="24">
        <f>IFERROR(__xludf.DUMMYFUNCTION("""COMPUTED_VALUE"""),1.0)</f>
        <v>1</v>
      </c>
    </row>
    <row r="181" ht="15.75" customHeight="1">
      <c r="A181" s="24">
        <f>IFERROR(__xludf.DUMMYFUNCTION("""COMPUTED_VALUE"""),320.0)</f>
        <v>320</v>
      </c>
      <c r="B181" s="24" t="str">
        <f>IFERROR(__xludf.DUMMYFUNCTION("""COMPUTED_VALUE"""),"VARGAS")</f>
        <v>VARGAS</v>
      </c>
      <c r="C181" s="24" t="str">
        <f>IFERROR(__xludf.DUMMYFUNCTION("""COMPUTED_VALUE"""),"SEVILLA FC")</f>
        <v>SEVILLA FC</v>
      </c>
      <c r="D181" s="24">
        <f>IFERROR(__xludf.DUMMYFUNCTION("""COMPUTED_VALUE"""),1.0)</f>
        <v>1</v>
      </c>
    </row>
    <row r="182" ht="15.75" customHeight="1">
      <c r="A182" s="24">
        <f>IFERROR(__xludf.DUMMYFUNCTION("""COMPUTED_VALUE"""),321.0)</f>
        <v>321</v>
      </c>
      <c r="B182" s="24" t="str">
        <f>IFERROR(__xludf.DUMMYFUNCTION("""COMPUTED_VALUE"""),"EJUKE")</f>
        <v>EJUKE</v>
      </c>
      <c r="C182" s="24" t="str">
        <f>IFERROR(__xludf.DUMMYFUNCTION("""COMPUTED_VALUE"""),"SEVILLA FC")</f>
        <v>SEVILLA FC</v>
      </c>
      <c r="D182" s="24">
        <f>IFERROR(__xludf.DUMMYFUNCTION("""COMPUTED_VALUE"""),2.0)</f>
        <v>2</v>
      </c>
    </row>
    <row r="183" ht="15.75" customHeight="1">
      <c r="A183" s="24">
        <f>IFERROR(__xludf.DUMMYFUNCTION("""COMPUTED_VALUE"""),322.0)</f>
        <v>322</v>
      </c>
      <c r="B183" s="24" t="str">
        <f>IFERROR(__xludf.DUMMYFUNCTION("""COMPUTED_VALUE"""),"ISAAC ROMERO")</f>
        <v>ISAAC ROMERO</v>
      </c>
      <c r="C183" s="24" t="str">
        <f>IFERROR(__xludf.DUMMYFUNCTION("""COMPUTED_VALUE"""),"SEVILLA FC")</f>
        <v>SEVILLA FC</v>
      </c>
      <c r="D183" s="24">
        <f>IFERROR(__xludf.DUMMYFUNCTION("""COMPUTED_VALUE"""),1.0)</f>
        <v>1</v>
      </c>
    </row>
    <row r="184" ht="15.75" customHeight="1">
      <c r="A184" s="24">
        <f>IFERROR(__xludf.DUMMYFUNCTION("""COMPUTED_VALUE"""),323.0)</f>
        <v>323</v>
      </c>
      <c r="B184" s="24" t="str">
        <f>IFERROR(__xludf.DUMMYFUNCTION("""COMPUTED_VALUE"""),"AKOR ADAMS")</f>
        <v>AKOR ADAMS</v>
      </c>
      <c r="C184" s="24" t="str">
        <f>IFERROR(__xludf.DUMMYFUNCTION("""COMPUTED_VALUE"""),"SEVILLA FC")</f>
        <v>SEVILLA FC</v>
      </c>
      <c r="D184" s="24">
        <f>IFERROR(__xludf.DUMMYFUNCTION("""COMPUTED_VALUE"""),2.0)</f>
        <v>2</v>
      </c>
    </row>
    <row r="185" ht="15.75" customHeight="1">
      <c r="A185" s="24">
        <f>IFERROR(__xludf.DUMMYFUNCTION("""COMPUTED_VALUE"""),324.0)</f>
        <v>324</v>
      </c>
      <c r="B185" s="24" t="str">
        <f>IFERROR(__xludf.DUMMYFUNCTION("""COMPUTED_VALUE"""),"ALEXIS SÁNCHEZ")</f>
        <v>ALEXIS SÁNCHEZ</v>
      </c>
      <c r="C185" s="24" t="str">
        <f>IFERROR(__xludf.DUMMYFUNCTION("""COMPUTED_VALUE"""),"SEVILLA FC")</f>
        <v>SEVILLA FC</v>
      </c>
      <c r="D185" s="24">
        <f>IFERROR(__xludf.DUMMYFUNCTION("""COMPUTED_VALUE"""),1.0)</f>
        <v>1</v>
      </c>
    </row>
    <row r="186" ht="15.75" customHeight="1">
      <c r="A186" s="24">
        <f>IFERROR(__xludf.DUMMYFUNCTION("""COMPUTED_VALUE"""),325.0)</f>
        <v>325</v>
      </c>
      <c r="B186" s="24" t="str">
        <f>IFERROR(__xludf.DUMMYFUNCTION("""COMPUTED_VALUE"""),"ESCUDO")</f>
        <v>ESCUDO</v>
      </c>
      <c r="C186" s="24" t="str">
        <f>IFERROR(__xludf.DUMMYFUNCTION("""COMPUTED_VALUE"""),"VALENCIA CF")</f>
        <v>VALENCIA CF</v>
      </c>
      <c r="D186" s="24">
        <f>IFERROR(__xludf.DUMMYFUNCTION("""COMPUTED_VALUE"""),2.0)</f>
        <v>2</v>
      </c>
    </row>
    <row r="187" ht="15.75" customHeight="1">
      <c r="A187" s="24">
        <f>IFERROR(__xludf.DUMMYFUNCTION("""COMPUTED_VALUE"""),326.0)</f>
        <v>326</v>
      </c>
      <c r="B187" s="24" t="str">
        <f>IFERROR(__xludf.DUMMYFUNCTION("""COMPUTED_VALUE"""),"AGIRREZABALA")</f>
        <v>AGIRREZABALA</v>
      </c>
      <c r="C187" s="24" t="str">
        <f>IFERROR(__xludf.DUMMYFUNCTION("""COMPUTED_VALUE"""),"VALENCIA CF")</f>
        <v>VALENCIA CF</v>
      </c>
      <c r="D187" s="24">
        <f>IFERROR(__xludf.DUMMYFUNCTION("""COMPUTED_VALUE"""),1.0)</f>
        <v>1</v>
      </c>
    </row>
    <row r="188" ht="15.75" customHeight="1">
      <c r="A188" s="24">
        <f>IFERROR(__xludf.DUMMYFUNCTION("""COMPUTED_VALUE"""),327.0)</f>
        <v>327</v>
      </c>
      <c r="B188" s="24" t="str">
        <f>IFERROR(__xludf.DUMMYFUNCTION("""COMPUTED_VALUE"""),"DIMITRIEVSKI")</f>
        <v>DIMITRIEVSKI</v>
      </c>
      <c r="C188" s="24" t="str">
        <f>IFERROR(__xludf.DUMMYFUNCTION("""COMPUTED_VALUE"""),"VALENCIA CF")</f>
        <v>VALENCIA CF</v>
      </c>
      <c r="D188" s="24">
        <f>IFERROR(__xludf.DUMMYFUNCTION("""COMPUTED_VALUE"""),1.0)</f>
        <v>1</v>
      </c>
    </row>
    <row r="189" ht="15.75" customHeight="1">
      <c r="A189" s="24">
        <f>IFERROR(__xludf.DUMMYFUNCTION("""COMPUTED_VALUE"""),328.0)</f>
        <v>328</v>
      </c>
      <c r="B189" s="24" t="str">
        <f>IFERROR(__xludf.DUMMYFUNCTION("""COMPUTED_VALUE"""),"FOULQUIER")</f>
        <v>FOULQUIER</v>
      </c>
      <c r="C189" s="24" t="str">
        <f>IFERROR(__xludf.DUMMYFUNCTION("""COMPUTED_VALUE"""),"VALENCIA CF")</f>
        <v>VALENCIA CF</v>
      </c>
      <c r="D189" s="24">
        <f>IFERROR(__xludf.DUMMYFUNCTION("""COMPUTED_VALUE"""),1.0)</f>
        <v>1</v>
      </c>
    </row>
    <row r="190" ht="15.75" customHeight="1">
      <c r="A190" s="24">
        <f>IFERROR(__xludf.DUMMYFUNCTION("""COMPUTED_VALUE"""),329.0)</f>
        <v>329</v>
      </c>
      <c r="B190" s="24" t="str">
        <f>IFERROR(__xludf.DUMMYFUNCTION("""COMPUTED_VALUE"""),"CORREIA")</f>
        <v>CORREIA</v>
      </c>
      <c r="C190" s="24" t="str">
        <f>IFERROR(__xludf.DUMMYFUNCTION("""COMPUTED_VALUE"""),"VALENCIA CF")</f>
        <v>VALENCIA CF</v>
      </c>
      <c r="D190" s="24">
        <f>IFERROR(__xludf.DUMMYFUNCTION("""COMPUTED_VALUE"""),2.0)</f>
        <v>2</v>
      </c>
    </row>
    <row r="191" ht="15.75" customHeight="1">
      <c r="A191" s="24">
        <f>IFERROR(__xludf.DUMMYFUNCTION("""COMPUTED_VALUE"""),330.0)</f>
        <v>330</v>
      </c>
      <c r="B191" s="24" t="str">
        <f>IFERROR(__xludf.DUMMYFUNCTION("""COMPUTED_VALUE"""),"TÁRREGA")</f>
        <v>TÁRREGA</v>
      </c>
      <c r="C191" s="24" t="str">
        <f>IFERROR(__xludf.DUMMYFUNCTION("""COMPUTED_VALUE"""),"VALENCIA CF")</f>
        <v>VALENCIA CF</v>
      </c>
      <c r="D191" s="24">
        <f>IFERROR(__xludf.DUMMYFUNCTION("""COMPUTED_VALUE"""),1.0)</f>
        <v>1</v>
      </c>
    </row>
    <row r="192" ht="15.75" customHeight="1">
      <c r="A192" s="24">
        <f>IFERROR(__xludf.DUMMYFUNCTION("""COMPUTED_VALUE"""),331.0)</f>
        <v>331</v>
      </c>
      <c r="B192" s="24" t="str">
        <f>IFERROR(__xludf.DUMMYFUNCTION("""COMPUTED_VALUE"""),"COPETE")</f>
        <v>COPETE</v>
      </c>
      <c r="C192" s="24" t="str">
        <f>IFERROR(__xludf.DUMMYFUNCTION("""COMPUTED_VALUE"""),"VALENCIA CF")</f>
        <v>VALENCIA CF</v>
      </c>
      <c r="D192" s="24">
        <f>IFERROR(__xludf.DUMMYFUNCTION("""COMPUTED_VALUE"""),1.0)</f>
        <v>1</v>
      </c>
    </row>
    <row r="193" ht="15.75" customHeight="1">
      <c r="A193" s="24">
        <f>IFERROR(__xludf.DUMMYFUNCTION("""COMPUTED_VALUE"""),332.0)</f>
        <v>332</v>
      </c>
      <c r="B193" s="24" t="str">
        <f>IFERROR(__xludf.DUMMYFUNCTION("""COMPUTED_VALUE"""),"DIAKHABY")</f>
        <v>DIAKHABY</v>
      </c>
      <c r="C193" s="24" t="str">
        <f>IFERROR(__xludf.DUMMYFUNCTION("""COMPUTED_VALUE"""),"VALENCIA CF")</f>
        <v>VALENCIA CF</v>
      </c>
      <c r="D193" s="24">
        <f>IFERROR(__xludf.DUMMYFUNCTION("""COMPUTED_VALUE"""),2.0)</f>
        <v>2</v>
      </c>
    </row>
    <row r="194" ht="15.75" customHeight="1">
      <c r="A194" s="24">
        <f>IFERROR(__xludf.DUMMYFUNCTION("""COMPUTED_VALUE"""),333.0)</f>
        <v>333</v>
      </c>
      <c r="B194" s="24" t="str">
        <f>IFERROR(__xludf.DUMMYFUNCTION("""COMPUTED_VALUE"""),"GAYÀ")</f>
        <v>GAYÀ</v>
      </c>
      <c r="C194" s="24" t="str">
        <f>IFERROR(__xludf.DUMMYFUNCTION("""COMPUTED_VALUE"""),"VALENCIA CF")</f>
        <v>VALENCIA CF</v>
      </c>
      <c r="D194" s="24">
        <f>IFERROR(__xludf.DUMMYFUNCTION("""COMPUTED_VALUE"""),1.0)</f>
        <v>1</v>
      </c>
    </row>
    <row r="195" ht="15.75" customHeight="1">
      <c r="A195" s="24">
        <f>IFERROR(__xludf.DUMMYFUNCTION("""COMPUTED_VALUE"""),334.0)</f>
        <v>334</v>
      </c>
      <c r="B195" s="24" t="str">
        <f>IFERROR(__xludf.DUMMYFUNCTION("""COMPUTED_VALUE"""),"PEPELU")</f>
        <v>PEPELU</v>
      </c>
      <c r="C195" s="24" t="str">
        <f>IFERROR(__xludf.DUMMYFUNCTION("""COMPUTED_VALUE"""),"VALENCIA CF")</f>
        <v>VALENCIA CF</v>
      </c>
      <c r="D195" s="24">
        <f>IFERROR(__xludf.DUMMYFUNCTION("""COMPUTED_VALUE"""),1.0)</f>
        <v>1</v>
      </c>
    </row>
    <row r="196" ht="15.75" customHeight="1">
      <c r="A196" s="24">
        <f>IFERROR(__xludf.DUMMYFUNCTION("""COMPUTED_VALUE"""),335.0)</f>
        <v>335</v>
      </c>
      <c r="B196" s="24" t="str">
        <f>IFERROR(__xludf.DUMMYFUNCTION("""COMPUTED_VALUE"""),"SANTAMARÍA")</f>
        <v>SANTAMARÍA</v>
      </c>
      <c r="C196" s="24" t="str">
        <f>IFERROR(__xludf.DUMMYFUNCTION("""COMPUTED_VALUE"""),"VALENCIA CF")</f>
        <v>VALENCIA CF</v>
      </c>
      <c r="D196" s="24">
        <f>IFERROR(__xludf.DUMMYFUNCTION("""COMPUTED_VALUE"""),1.0)</f>
        <v>1</v>
      </c>
    </row>
    <row r="197" ht="15.75" customHeight="1">
      <c r="A197" s="24">
        <f>IFERROR(__xludf.DUMMYFUNCTION("""COMPUTED_VALUE"""),337.0)</f>
        <v>337</v>
      </c>
      <c r="B197" s="24" t="str">
        <f>IFERROR(__xludf.DUMMYFUNCTION("""COMPUTED_VALUE"""),"ANDRÉ ALMEIDA")</f>
        <v>ANDRÉ ALMEIDA</v>
      </c>
      <c r="C197" s="24" t="str">
        <f>IFERROR(__xludf.DUMMYFUNCTION("""COMPUTED_VALUE"""),"VALENCIA CF")</f>
        <v>VALENCIA CF</v>
      </c>
      <c r="D197" s="24">
        <f>IFERROR(__xludf.DUMMYFUNCTION("""COMPUTED_VALUE"""),1.0)</f>
        <v>1</v>
      </c>
    </row>
    <row r="198" ht="15.75" customHeight="1">
      <c r="A198" s="24">
        <f>IFERROR(__xludf.DUMMYFUNCTION("""COMPUTED_VALUE"""),338.0)</f>
        <v>338</v>
      </c>
      <c r="B198" s="24" t="str">
        <f>IFERROR(__xludf.DUMMYFUNCTION("""COMPUTED_VALUE"""),"LUIS RIOJA")</f>
        <v>LUIS RIOJA</v>
      </c>
      <c r="C198" s="24" t="str">
        <f>IFERROR(__xludf.DUMMYFUNCTION("""COMPUTED_VALUE"""),"VALENCIA CF")</f>
        <v>VALENCIA CF</v>
      </c>
      <c r="D198" s="24">
        <f>IFERROR(__xludf.DUMMYFUNCTION("""COMPUTED_VALUE"""),1.0)</f>
        <v>1</v>
      </c>
    </row>
    <row r="199" ht="15.75" customHeight="1">
      <c r="A199" s="24">
        <f>IFERROR(__xludf.DUMMYFUNCTION("""COMPUTED_VALUE"""),339.0)</f>
        <v>339</v>
      </c>
      <c r="B199" s="24" t="str">
        <f>IFERROR(__xludf.DUMMYFUNCTION("""COMPUTED_VALUE"""),"DIEGO LÓPEZ")</f>
        <v>DIEGO LÓPEZ</v>
      </c>
      <c r="C199" s="24" t="str">
        <f>IFERROR(__xludf.DUMMYFUNCTION("""COMPUTED_VALUE"""),"VALENCIA CF")</f>
        <v>VALENCIA CF</v>
      </c>
      <c r="D199" s="24">
        <f>IFERROR(__xludf.DUMMYFUNCTION("""COMPUTED_VALUE"""),1.0)</f>
        <v>1</v>
      </c>
    </row>
    <row r="200" ht="15.75" customHeight="1">
      <c r="A200" s="24">
        <f>IFERROR(__xludf.DUMMYFUNCTION("""COMPUTED_VALUE"""),343.0)</f>
        <v>343</v>
      </c>
      <c r="B200" s="24" t="str">
        <f>IFERROR(__xludf.DUMMYFUNCTION("""COMPUTED_VALUE"""),"ESCUDO")</f>
        <v>ESCUDO</v>
      </c>
      <c r="C200" s="24" t="str">
        <f>IFERROR(__xludf.DUMMYFUNCTION("""COMPUTED_VALUE"""),"VILLARREAL CF")</f>
        <v>VILLARREAL CF</v>
      </c>
      <c r="D200" s="24">
        <f>IFERROR(__xludf.DUMMYFUNCTION("""COMPUTED_VALUE"""),2.0)</f>
        <v>2</v>
      </c>
    </row>
    <row r="201" ht="15.75" customHeight="1">
      <c r="A201" s="24">
        <f>IFERROR(__xludf.DUMMYFUNCTION("""COMPUTED_VALUE"""),344.0)</f>
        <v>344</v>
      </c>
      <c r="B201" s="24" t="str">
        <f>IFERROR(__xludf.DUMMYFUNCTION("""COMPUTED_VALUE"""),"LUIZ JÚNIOR")</f>
        <v>LUIZ JÚNIOR</v>
      </c>
      <c r="C201" s="24" t="str">
        <f>IFERROR(__xludf.DUMMYFUNCTION("""COMPUTED_VALUE"""),"VILLARREAL CF")</f>
        <v>VILLARREAL CF</v>
      </c>
      <c r="D201" s="24">
        <f>IFERROR(__xludf.DUMMYFUNCTION("""COMPUTED_VALUE"""),1.0)</f>
        <v>1</v>
      </c>
    </row>
    <row r="202" ht="15.75" customHeight="1">
      <c r="A202" s="24">
        <f>IFERROR(__xludf.DUMMYFUNCTION("""COMPUTED_VALUE"""),348.0)</f>
        <v>348</v>
      </c>
      <c r="B202" s="24" t="str">
        <f>IFERROR(__xludf.DUMMYFUNCTION("""COMPUTED_VALUE"""),"RAFA MARÍN")</f>
        <v>RAFA MARÍN</v>
      </c>
      <c r="C202" s="24" t="str">
        <f>IFERROR(__xludf.DUMMYFUNCTION("""COMPUTED_VALUE"""),"VILLARREAL CF")</f>
        <v>VILLARREAL CF</v>
      </c>
      <c r="D202" s="24">
        <f>IFERROR(__xludf.DUMMYFUNCTION("""COMPUTED_VALUE"""),1.0)</f>
        <v>1</v>
      </c>
    </row>
    <row r="203" ht="15.75" customHeight="1">
      <c r="A203" s="24">
        <f>IFERROR(__xludf.DUMMYFUNCTION("""COMPUTED_VALUE"""),350.0)</f>
        <v>350</v>
      </c>
      <c r="B203" s="24" t="str">
        <f>IFERROR(__xludf.DUMMYFUNCTION("""COMPUTED_VALUE"""),"SERGI CARDONA")</f>
        <v>SERGI CARDONA</v>
      </c>
      <c r="C203" s="24" t="str">
        <f>IFERROR(__xludf.DUMMYFUNCTION("""COMPUTED_VALUE"""),"VILLARREAL CF")</f>
        <v>VILLARREAL CF</v>
      </c>
      <c r="D203" s="24">
        <f>IFERROR(__xludf.DUMMYFUNCTION("""COMPUTED_VALUE"""),2.0)</f>
        <v>2</v>
      </c>
    </row>
    <row r="204" ht="15.75" customHeight="1">
      <c r="A204" s="24">
        <f>IFERROR(__xludf.DUMMYFUNCTION("""COMPUTED_VALUE"""),351.0)</f>
        <v>351</v>
      </c>
      <c r="B204" s="24" t="str">
        <f>IFERROR(__xludf.DUMMYFUNCTION("""COMPUTED_VALUE"""),"SANTI COMESAÑA")</f>
        <v>SANTI COMESAÑA</v>
      </c>
      <c r="C204" s="24" t="str">
        <f>IFERROR(__xludf.DUMMYFUNCTION("""COMPUTED_VALUE"""),"VILLARREAL CF")</f>
        <v>VILLARREAL CF</v>
      </c>
      <c r="D204" s="24">
        <f>IFERROR(__xludf.DUMMYFUNCTION("""COMPUTED_VALUE"""),1.0)</f>
        <v>1</v>
      </c>
    </row>
    <row r="205" ht="15.75" customHeight="1">
      <c r="A205" s="24">
        <f>IFERROR(__xludf.DUMMYFUNCTION("""COMPUTED_VALUE"""),352.0)</f>
        <v>352</v>
      </c>
      <c r="B205" s="24" t="str">
        <f>IFERROR(__xludf.DUMMYFUNCTION("""COMPUTED_VALUE"""),"PAPE GUEYE")</f>
        <v>PAPE GUEYE</v>
      </c>
      <c r="C205" s="24" t="str">
        <f>IFERROR(__xludf.DUMMYFUNCTION("""COMPUTED_VALUE"""),"VILLARREAL CF")</f>
        <v>VILLARREAL CF</v>
      </c>
      <c r="D205" s="24">
        <f>IFERROR(__xludf.DUMMYFUNCTION("""COMPUTED_VALUE"""),1.0)</f>
        <v>1</v>
      </c>
    </row>
    <row r="206" ht="15.75" customHeight="1">
      <c r="A206" s="24">
        <f>IFERROR(__xludf.DUMMYFUNCTION("""COMPUTED_VALUE"""),353.0)</f>
        <v>353</v>
      </c>
      <c r="B206" s="24" t="str">
        <f>IFERROR(__xludf.DUMMYFUNCTION("""COMPUTED_VALUE"""),"PAREJO")</f>
        <v>PAREJO</v>
      </c>
      <c r="C206" s="24" t="str">
        <f>IFERROR(__xludf.DUMMYFUNCTION("""COMPUTED_VALUE"""),"VILLARREAL CF")</f>
        <v>VILLARREAL CF</v>
      </c>
      <c r="D206" s="24">
        <f>IFERROR(__xludf.DUMMYFUNCTION("""COMPUTED_VALUE"""),1.0)</f>
        <v>1</v>
      </c>
    </row>
    <row r="207" ht="15.75" customHeight="1">
      <c r="A207" s="24">
        <f>IFERROR(__xludf.DUMMYFUNCTION("""COMPUTED_VALUE"""),354.0)</f>
        <v>354</v>
      </c>
      <c r="B207" s="24" t="str">
        <f>IFERROR(__xludf.DUMMYFUNCTION("""COMPUTED_VALUE"""),"THOMAS")</f>
        <v>THOMAS</v>
      </c>
      <c r="C207" s="24" t="str">
        <f>IFERROR(__xludf.DUMMYFUNCTION("""COMPUTED_VALUE"""),"VILLARREAL CF")</f>
        <v>VILLARREAL CF</v>
      </c>
      <c r="D207" s="24">
        <f>IFERROR(__xludf.DUMMYFUNCTION("""COMPUTED_VALUE"""),1.0)</f>
        <v>1</v>
      </c>
    </row>
    <row r="208" ht="15.75" customHeight="1">
      <c r="A208" s="24">
        <f>IFERROR(__xludf.DUMMYFUNCTION("""COMPUTED_VALUE"""),355.0)</f>
        <v>355</v>
      </c>
      <c r="B208" s="24" t="str">
        <f>IFERROR(__xludf.DUMMYFUNCTION("""COMPUTED_VALUE"""),"MOLEIRO")</f>
        <v>MOLEIRO</v>
      </c>
      <c r="C208" s="24" t="str">
        <f>IFERROR(__xludf.DUMMYFUNCTION("""COMPUTED_VALUE"""),"VILLARREAL CF")</f>
        <v>VILLARREAL CF</v>
      </c>
      <c r="D208" s="24">
        <f>IFERROR(__xludf.DUMMYFUNCTION("""COMPUTED_VALUE"""),2.0)</f>
        <v>2</v>
      </c>
    </row>
    <row r="209" ht="15.75" customHeight="1">
      <c r="A209" s="24">
        <f>IFERROR(__xludf.DUMMYFUNCTION("""COMPUTED_VALUE"""),356.0)</f>
        <v>356</v>
      </c>
      <c r="B209" s="24" t="str">
        <f>IFERROR(__xludf.DUMMYFUNCTION("""COMPUTED_VALUE"""),"BUCHANAN")</f>
        <v>BUCHANAN</v>
      </c>
      <c r="C209" s="24" t="str">
        <f>IFERROR(__xludf.DUMMYFUNCTION("""COMPUTED_VALUE"""),"VILLARREAL CF")</f>
        <v>VILLARREAL CF</v>
      </c>
      <c r="D209" s="24">
        <f>IFERROR(__xludf.DUMMYFUNCTION("""COMPUTED_VALUE"""),1.0)</f>
        <v>1</v>
      </c>
    </row>
    <row r="210" ht="15.75" customHeight="1">
      <c r="A210" s="24">
        <f>IFERROR(__xludf.DUMMYFUNCTION("""COMPUTED_VALUE"""),358.0)</f>
        <v>358</v>
      </c>
      <c r="B210" s="24" t="str">
        <f>IFERROR(__xludf.DUMMYFUNCTION("""COMPUTED_VALUE"""),"PÉPÉ")</f>
        <v>PÉPÉ</v>
      </c>
      <c r="C210" s="24" t="str">
        <f>IFERROR(__xludf.DUMMYFUNCTION("""COMPUTED_VALUE"""),"VILLARREAL CF")</f>
        <v>VILLARREAL CF</v>
      </c>
      <c r="D210" s="24">
        <f>IFERROR(__xludf.DUMMYFUNCTION("""COMPUTED_VALUE"""),1.0)</f>
        <v>1</v>
      </c>
    </row>
    <row r="211" ht="15.75" customHeight="1">
      <c r="A211" s="24">
        <f>IFERROR(__xludf.DUMMYFUNCTION("""COMPUTED_VALUE"""),360.0)</f>
        <v>360</v>
      </c>
      <c r="B211" s="24" t="str">
        <f>IFERROR(__xludf.DUMMYFUNCTION("""COMPUTED_VALUE"""),"AYOZE")</f>
        <v>AYOZE</v>
      </c>
      <c r="C211" s="24" t="str">
        <f>IFERROR(__xludf.DUMMYFUNCTION("""COMPUTED_VALUE"""),"VILLARREAL CF")</f>
        <v>VILLARREAL CF</v>
      </c>
      <c r="D211" s="24">
        <f>IFERROR(__xludf.DUMMYFUNCTION("""COMPUTED_VALUE"""),1.0)</f>
        <v>1</v>
      </c>
    </row>
    <row r="212" ht="15.75" customHeight="1">
      <c r="A212" s="24"/>
      <c r="B212" s="24"/>
      <c r="C212" s="24"/>
      <c r="D212" s="24" t="str">
        <f>IFERROR(__xludf.DUMMYFUNCTION("""COMPUTED_VALUE"""),"SI")</f>
        <v>SI</v>
      </c>
    </row>
    <row r="213" ht="15.75" customHeight="1">
      <c r="A213" s="24">
        <f>IFERROR(__xludf.DUMMYFUNCTION("""COMPUTED_VALUE"""),361.0)</f>
        <v>361</v>
      </c>
      <c r="B213" s="24" t="str">
        <f>IFERROR(__xludf.DUMMYFUNCTION("""COMPUTED_VALUE"""),"D. ALAVÉS")</f>
        <v>D. ALAVÉS</v>
      </c>
      <c r="C213" s="24" t="str">
        <f>IFERROR(__xludf.DUMMYFUNCTION("""COMPUTED_VALUE"""),"¡VAMOS!")</f>
        <v>¡VAMOS!</v>
      </c>
      <c r="D213" s="24">
        <f>IFERROR(__xludf.DUMMYFUNCTION("""COMPUTED_VALUE"""),3.0)</f>
        <v>3</v>
      </c>
    </row>
    <row r="214" ht="15.75" customHeight="1">
      <c r="A214" s="24">
        <f>IFERROR(__xludf.DUMMYFUNCTION("""COMPUTED_VALUE"""),363.0)</f>
        <v>363</v>
      </c>
      <c r="B214" s="24" t="str">
        <f>IFERROR(__xludf.DUMMYFUNCTION("""COMPUTED_VALUE"""),"ATLÉTICO DE MADRID")</f>
        <v>ATLÉTICO DE MADRID</v>
      </c>
      <c r="C214" s="24" t="str">
        <f>IFERROR(__xludf.DUMMYFUNCTION("""COMPUTED_VALUE"""),"¡VAMOS!")</f>
        <v>¡VAMOS!</v>
      </c>
      <c r="D214" s="24">
        <f>IFERROR(__xludf.DUMMYFUNCTION("""COMPUTED_VALUE"""),1.0)</f>
        <v>1</v>
      </c>
    </row>
    <row r="215" ht="15.75" customHeight="1">
      <c r="A215" s="24">
        <f>IFERROR(__xludf.DUMMYFUNCTION("""COMPUTED_VALUE"""),366.0)</f>
        <v>366</v>
      </c>
      <c r="B215" s="24" t="str">
        <f>IFERROR(__xludf.DUMMYFUNCTION("""COMPUTED_VALUE"""),"RC CELTA")</f>
        <v>RC CELTA</v>
      </c>
      <c r="C215" s="24" t="str">
        <f>IFERROR(__xludf.DUMMYFUNCTION("""COMPUTED_VALUE"""),"¡VAMOS!")</f>
        <v>¡VAMOS!</v>
      </c>
      <c r="D215" s="24">
        <f>IFERROR(__xludf.DUMMYFUNCTION("""COMPUTED_VALUE"""),1.0)</f>
        <v>1</v>
      </c>
    </row>
    <row r="216" ht="15.75" customHeight="1">
      <c r="A216" s="24">
        <f>IFERROR(__xludf.DUMMYFUNCTION("""COMPUTED_VALUE"""),369.0)</f>
        <v>369</v>
      </c>
      <c r="B216" s="24" t="str">
        <f>IFERROR(__xludf.DUMMYFUNCTION("""COMPUTED_VALUE"""),"GETAFE CF")</f>
        <v>GETAFE CF</v>
      </c>
      <c r="C216" s="24" t="str">
        <f>IFERROR(__xludf.DUMMYFUNCTION("""COMPUTED_VALUE"""),"¡VAMOS!")</f>
        <v>¡VAMOS!</v>
      </c>
      <c r="D216" s="24">
        <f>IFERROR(__xludf.DUMMYFUNCTION("""COMPUTED_VALUE"""),1.0)</f>
        <v>1</v>
      </c>
    </row>
    <row r="217" ht="15.75" customHeight="1">
      <c r="A217" s="24">
        <f>IFERROR(__xludf.DUMMYFUNCTION("""COMPUTED_VALUE"""),371.0)</f>
        <v>371</v>
      </c>
      <c r="B217" s="24" t="str">
        <f>IFERROR(__xludf.DUMMYFUNCTION("""COMPUTED_VALUE"""),"LEVANTE UD")</f>
        <v>LEVANTE UD</v>
      </c>
      <c r="C217" s="24" t="str">
        <f>IFERROR(__xludf.DUMMYFUNCTION("""COMPUTED_VALUE"""),"¡VAMOS!")</f>
        <v>¡VAMOS!</v>
      </c>
      <c r="D217" s="24">
        <f>IFERROR(__xludf.DUMMYFUNCTION("""COMPUTED_VALUE"""),2.0)</f>
        <v>2</v>
      </c>
    </row>
    <row r="218" ht="15.75" customHeight="1">
      <c r="A218" s="24">
        <f>IFERROR(__xludf.DUMMYFUNCTION("""COMPUTED_VALUE"""),372.0)</f>
        <v>372</v>
      </c>
      <c r="B218" s="24" t="str">
        <f>IFERROR(__xludf.DUMMYFUNCTION("""COMPUTED_VALUE"""),"REAL MADRID")</f>
        <v>REAL MADRID</v>
      </c>
      <c r="C218" s="24" t="str">
        <f>IFERROR(__xludf.DUMMYFUNCTION("""COMPUTED_VALUE"""),"¡VAMOS!")</f>
        <v>¡VAMOS!</v>
      </c>
      <c r="D218" s="24">
        <f>IFERROR(__xludf.DUMMYFUNCTION("""COMPUTED_VALUE"""),1.0)</f>
        <v>1</v>
      </c>
    </row>
    <row r="219" ht="15.75" customHeight="1">
      <c r="A219" s="24">
        <f>IFERROR(__xludf.DUMMYFUNCTION("""COMPUTED_VALUE"""),376.0)</f>
        <v>376</v>
      </c>
      <c r="B219" s="24" t="str">
        <f>IFERROR(__xludf.DUMMYFUNCTION("""COMPUTED_VALUE"""),"RAYO VALLECANO")</f>
        <v>RAYO VALLECANO</v>
      </c>
      <c r="C219" s="24" t="str">
        <f>IFERROR(__xludf.DUMMYFUNCTION("""COMPUTED_VALUE"""),"¡VAMOS!")</f>
        <v>¡VAMOS!</v>
      </c>
      <c r="D219" s="24">
        <f>IFERROR(__xludf.DUMMYFUNCTION("""COMPUTED_VALUE"""),1.0)</f>
        <v>1</v>
      </c>
    </row>
    <row r="220" ht="15.75" customHeight="1">
      <c r="A220" s="24">
        <f>IFERROR(__xludf.DUMMYFUNCTION("""COMPUTED_VALUE"""),377.0)</f>
        <v>377</v>
      </c>
      <c r="B220" s="24" t="str">
        <f>IFERROR(__xludf.DUMMYFUNCTION("""COMPUTED_VALUE"""),"REAL SOCIEDAD")</f>
        <v>REAL SOCIEDAD</v>
      </c>
      <c r="C220" s="24" t="str">
        <f>IFERROR(__xludf.DUMMYFUNCTION("""COMPUTED_VALUE"""),"¡VAMOS!")</f>
        <v>¡VAMOS!</v>
      </c>
      <c r="D220" s="24">
        <f>IFERROR(__xludf.DUMMYFUNCTION("""COMPUTED_VALUE"""),1.0)</f>
        <v>1</v>
      </c>
    </row>
    <row r="221" ht="15.75" customHeight="1">
      <c r="A221" s="24">
        <f>IFERROR(__xludf.DUMMYFUNCTION("""COMPUTED_VALUE"""),378.0)</f>
        <v>378</v>
      </c>
      <c r="B221" s="24" t="str">
        <f>IFERROR(__xludf.DUMMYFUNCTION("""COMPUTED_VALUE"""),"SEVILLA FC")</f>
        <v>SEVILLA FC</v>
      </c>
      <c r="C221" s="24" t="str">
        <f>IFERROR(__xludf.DUMMYFUNCTION("""COMPUTED_VALUE"""),"¡VAMOS!")</f>
        <v>¡VAMOS!</v>
      </c>
      <c r="D221" s="24">
        <f>IFERROR(__xludf.DUMMYFUNCTION("""COMPUTED_VALUE"""),1.0)</f>
        <v>1</v>
      </c>
    </row>
    <row r="222" ht="15.75" customHeight="1">
      <c r="A222" s="24">
        <f>IFERROR(__xludf.DUMMYFUNCTION("""COMPUTED_VALUE"""),383.0)</f>
        <v>383</v>
      </c>
      <c r="B222" s="24" t="str">
        <f>IFERROR(__xludf.DUMMYFUNCTION("""COMPUTED_VALUE"""),"DAVID SORIA")</f>
        <v>DAVID SORIA</v>
      </c>
      <c r="C222" s="24" t="str">
        <f>IFERROR(__xludf.DUMMYFUNCTION("""COMPUTED_VALUE"""),"GETAFE CF")</f>
        <v>GETAFE CF</v>
      </c>
      <c r="D222" s="24">
        <f>IFERROR(__xludf.DUMMYFUNCTION("""COMPUTED_VALUE"""),1.0)</f>
        <v>1</v>
      </c>
    </row>
    <row r="223" ht="15.75" customHeight="1">
      <c r="A223" s="24">
        <f>IFERROR(__xludf.DUMMYFUNCTION("""COMPUTED_VALUE"""),386.0)</f>
        <v>386</v>
      </c>
      <c r="B223" s="24" t="str">
        <f>IFERROR(__xludf.DUMMYFUNCTION("""COMPUTED_VALUE"""),"REMIRO")</f>
        <v>REMIRO</v>
      </c>
      <c r="C223" s="24" t="str">
        <f>IFERROR(__xludf.DUMMYFUNCTION("""COMPUTED_VALUE"""),"REAL SOCIEDAD")</f>
        <v>REAL SOCIEDAD</v>
      </c>
      <c r="D223" s="24">
        <f>IFERROR(__xludf.DUMMYFUNCTION("""COMPUTED_VALUE"""),1.0)</f>
        <v>1</v>
      </c>
    </row>
    <row r="224" ht="15.75" customHeight="1">
      <c r="A224" s="24">
        <f>IFERROR(__xludf.DUMMYFUNCTION("""COMPUTED_VALUE"""),387.0)</f>
        <v>387</v>
      </c>
      <c r="B224" s="24" t="str">
        <f>IFERROR(__xludf.DUMMYFUNCTION("""COMPUTED_VALUE"""),"AGIRREZABALA")</f>
        <v>AGIRREZABALA</v>
      </c>
      <c r="C224" s="24" t="str">
        <f>IFERROR(__xludf.DUMMYFUNCTION("""COMPUTED_VALUE"""),"VALENCIA CF")</f>
        <v>VALENCIA CF</v>
      </c>
      <c r="D224" s="24">
        <f>IFERROR(__xludf.DUMMYFUNCTION("""COMPUTED_VALUE"""),3.0)</f>
        <v>3</v>
      </c>
    </row>
    <row r="225" ht="15.75" customHeight="1">
      <c r="A225" s="24">
        <f>IFERROR(__xludf.DUMMYFUNCTION("""COMPUTED_VALUE"""),391.0)</f>
        <v>391</v>
      </c>
      <c r="B225" s="24" t="str">
        <f>IFERROR(__xludf.DUMMYFUNCTION("""COMPUTED_VALUE"""),"AFFENGRUBER")</f>
        <v>AFFENGRUBER</v>
      </c>
      <c r="C225" s="24" t="str">
        <f>IFERROR(__xludf.DUMMYFUNCTION("""COMPUTED_VALUE"""),"ELCHE CF")</f>
        <v>ELCHE CF</v>
      </c>
      <c r="D225" s="24">
        <f>IFERROR(__xludf.DUMMYFUNCTION("""COMPUTED_VALUE"""),1.0)</f>
        <v>1</v>
      </c>
    </row>
    <row r="226" ht="15.75" customHeight="1">
      <c r="A226" s="24">
        <f>IFERROR(__xludf.DUMMYFUNCTION("""COMPUTED_VALUE"""),392.0)</f>
        <v>392</v>
      </c>
      <c r="B226" s="24" t="str">
        <f>IFERROR(__xludf.DUMMYFUNCTION("""COMPUTED_VALUE"""),"CABRERA")</f>
        <v>CABRERA</v>
      </c>
      <c r="C226" s="24" t="str">
        <f>IFERROR(__xludf.DUMMYFUNCTION("""COMPUTED_VALUE"""),"RCD ESPANYOL")</f>
        <v>RCD ESPANYOL</v>
      </c>
      <c r="D226" s="24">
        <f>IFERROR(__xludf.DUMMYFUNCTION("""COMPUTED_VALUE"""),1.0)</f>
        <v>1</v>
      </c>
    </row>
    <row r="227" ht="15.75" customHeight="1">
      <c r="A227" s="24">
        <f>IFERROR(__xludf.DUMMYFUNCTION("""COMPUTED_VALUE"""),393.0)</f>
        <v>393</v>
      </c>
      <c r="B227" s="24" t="str">
        <f>IFERROR(__xludf.DUMMYFUNCTION("""COMPUTED_VALUE"""),"MILITAO")</f>
        <v>MILITAO</v>
      </c>
      <c r="C227" s="24" t="str">
        <f>IFERROR(__xludf.DUMMYFUNCTION("""COMPUTED_VALUE"""),"REAL MADRID")</f>
        <v>REAL MADRID</v>
      </c>
      <c r="D227" s="24">
        <f>IFERROR(__xludf.DUMMYFUNCTION("""COMPUTED_VALUE"""),1.0)</f>
        <v>1</v>
      </c>
    </row>
    <row r="228" ht="15.75" customHeight="1">
      <c r="A228" s="24">
        <f>IFERROR(__xludf.DUMMYFUNCTION("""COMPUTED_VALUE"""),396.0)</f>
        <v>396</v>
      </c>
      <c r="B228" s="24" t="str">
        <f>IFERROR(__xludf.DUMMYFUNCTION("""COMPUTED_VALUE"""),"MOURIÑO")</f>
        <v>MOURIÑO</v>
      </c>
      <c r="C228" s="24" t="str">
        <f>IFERROR(__xludf.DUMMYFUNCTION("""COMPUTED_VALUE"""),"VILLARREAL CF")</f>
        <v>VILLARREAL CF</v>
      </c>
      <c r="D228" s="24">
        <f>IFERROR(__xludf.DUMMYFUNCTION("""COMPUTED_VALUE"""),1.0)</f>
        <v>1</v>
      </c>
    </row>
    <row r="229" ht="15.75" customHeight="1">
      <c r="A229" s="24">
        <f>IFERROR(__xludf.DUMMYFUNCTION("""COMPUTED_VALUE"""),397.0)</f>
        <v>397</v>
      </c>
      <c r="B229" s="24" t="str">
        <f>IFERROR(__xludf.DUMMYFUNCTION("""COMPUTED_VALUE"""),"REGO")</f>
        <v>REGO</v>
      </c>
      <c r="C229" s="24" t="str">
        <f>IFERROR(__xludf.DUMMYFUNCTION("""COMPUTED_VALUE"""),"ATHLETIC CLUB")</f>
        <v>ATHLETIC CLUB</v>
      </c>
      <c r="D229" s="24">
        <f>IFERROR(__xludf.DUMMYFUNCTION("""COMPUTED_VALUE"""),1.0)</f>
        <v>1</v>
      </c>
    </row>
    <row r="230" ht="15.75" customHeight="1">
      <c r="A230" s="24">
        <f>IFERROR(__xludf.DUMMYFUNCTION("""COMPUTED_VALUE"""),398.0)</f>
        <v>398</v>
      </c>
      <c r="B230" s="24" t="str">
        <f>IFERROR(__xludf.DUMMYFUNCTION("""COMPUTED_VALUE"""),"DRO")</f>
        <v>DRO</v>
      </c>
      <c r="C230" s="24" t="str">
        <f>IFERROR(__xludf.DUMMYFUNCTION("""COMPUTED_VALUE"""),"FC BARCELONA")</f>
        <v>FC BARCELONA</v>
      </c>
      <c r="D230" s="24">
        <f>IFERROR(__xludf.DUMMYFUNCTION("""COMPUTED_VALUE"""),1.0)</f>
        <v>1</v>
      </c>
    </row>
    <row r="231" ht="15.75" customHeight="1">
      <c r="A231" s="24">
        <f>IFERROR(__xludf.DUMMYFUNCTION("""COMPUTED_VALUE"""),399.0)</f>
        <v>399</v>
      </c>
      <c r="B231" s="24" t="str">
        <f>IFERROR(__xludf.DUMMYFUNCTION("""COMPUTED_VALUE"""),"VALENTÍN GÓMEZ")</f>
        <v>VALENTÍN GÓMEZ</v>
      </c>
      <c r="C231" s="24" t="str">
        <f>IFERROR(__xludf.DUMMYFUNCTION("""COMPUTED_VALUE"""),"REAL BETIS")</f>
        <v>REAL BETIS</v>
      </c>
      <c r="D231" s="24">
        <f>IFERROR(__xludf.DUMMYFUNCTION("""COMPUTED_VALUE"""),1.0)</f>
        <v>1</v>
      </c>
    </row>
    <row r="232" ht="15.75" customHeight="1">
      <c r="A232" s="24">
        <f>IFERROR(__xludf.DUMMYFUNCTION("""COMPUTED_VALUE"""),401.0)</f>
        <v>401</v>
      </c>
      <c r="B232" s="24" t="str">
        <f>IFERROR(__xludf.DUMMYFUNCTION("""COMPUTED_VALUE"""),"RODRI MENDOZA")</f>
        <v>RODRI MENDOZA</v>
      </c>
      <c r="C232" s="24" t="str">
        <f>IFERROR(__xludf.DUMMYFUNCTION("""COMPUTED_VALUE"""),"ELCHE CF")</f>
        <v>ELCHE CF</v>
      </c>
      <c r="D232" s="24">
        <f>IFERROR(__xludf.DUMMYFUNCTION("""COMPUTED_VALUE"""),2.0)</f>
        <v>2</v>
      </c>
    </row>
    <row r="233" ht="15.75" customHeight="1">
      <c r="A233" s="24">
        <f>IFERROR(__xludf.DUMMYFUNCTION("""COMPUTED_VALUE"""),402.0)</f>
        <v>402</v>
      </c>
      <c r="B233" s="24" t="str">
        <f>IFERROR(__xludf.DUMMYFUNCTION("""COMPUTED_VALUE"""),"RIEDEL")</f>
        <v>RIEDEL</v>
      </c>
      <c r="C233" s="24" t="str">
        <f>IFERROR(__xludf.DUMMYFUNCTION("""COMPUTED_VALUE"""),"RCD ESPANYOL")</f>
        <v>RCD ESPANYOL</v>
      </c>
      <c r="D233" s="24">
        <f>IFERROR(__xludf.DUMMYFUNCTION("""COMPUTED_VALUE"""),1.0)</f>
        <v>1</v>
      </c>
    </row>
    <row r="234" ht="15.75" customHeight="1">
      <c r="A234" s="23">
        <f>IFERROR(__xludf.DUMMYFUNCTION("""COMPUTED_VALUE"""),403.0)</f>
        <v>403</v>
      </c>
      <c r="B234" s="24" t="str">
        <f>IFERROR(__xludf.DUMMYFUNCTION("""COMPUTED_VALUE"""),"DAVINCHI")</f>
        <v>DAVINCHI</v>
      </c>
      <c r="C234" s="24" t="str">
        <f>IFERROR(__xludf.DUMMYFUNCTION("""COMPUTED_VALUE"""),"GETAFE CF")</f>
        <v>GETAFE CF</v>
      </c>
      <c r="D234" s="24">
        <f>IFERROR(__xludf.DUMMYFUNCTION("""COMPUTED_VALUE"""),1.0)</f>
        <v>1</v>
      </c>
    </row>
    <row r="235" ht="15.75" customHeight="1">
      <c r="A235" s="23">
        <f>IFERROR(__xludf.DUMMYFUNCTION("""COMPUTED_VALUE"""),404.0)</f>
        <v>404</v>
      </c>
      <c r="B235" s="24" t="str">
        <f>IFERROR(__xludf.DUMMYFUNCTION("""COMPUTED_VALUE"""),"LISO")</f>
        <v>LISO</v>
      </c>
      <c r="C235" s="24" t="str">
        <f>IFERROR(__xludf.DUMMYFUNCTION("""COMPUTED_VALUE"""),"GETAFE CF")</f>
        <v>GETAFE CF</v>
      </c>
      <c r="D235" s="24">
        <f>IFERROR(__xludf.DUMMYFUNCTION("""COMPUTED_VALUE"""),2.0)</f>
        <v>2</v>
      </c>
    </row>
    <row r="236" ht="15.75" customHeight="1">
      <c r="A236" s="23">
        <f>IFERROR(__xludf.DUMMYFUNCTION("""COMPUTED_VALUE"""),405.0)</f>
        <v>405</v>
      </c>
      <c r="B236" s="24" t="str">
        <f>IFERROR(__xludf.DUMMYFUNCTION("""COMPUTED_VALUE"""),"VITOR REIS")</f>
        <v>VITOR REIS</v>
      </c>
      <c r="C236" s="24" t="str">
        <f>IFERROR(__xludf.DUMMYFUNCTION("""COMPUTED_VALUE"""),"GIRONA FC")</f>
        <v>GIRONA FC</v>
      </c>
      <c r="D236" s="24">
        <f>IFERROR(__xludf.DUMMYFUNCTION("""COMPUTED_VALUE"""),1.0)</f>
        <v>1</v>
      </c>
    </row>
    <row r="237" ht="15.75" customHeight="1">
      <c r="A237" s="23">
        <f>IFERROR(__xludf.DUMMYFUNCTION("""COMPUTED_VALUE"""),407.0)</f>
        <v>407</v>
      </c>
      <c r="B237" s="24" t="str">
        <f>IFERROR(__xludf.DUMMYFUNCTION("""COMPUTED_VALUE"""),"CARLOS ÁLVAREZ")</f>
        <v>CARLOS ÁLVAREZ</v>
      </c>
      <c r="C237" s="24" t="str">
        <f>IFERROR(__xludf.DUMMYFUNCTION("""COMPUTED_VALUE"""),"LEVANTE UD")</f>
        <v>LEVANTE UD</v>
      </c>
      <c r="D237" s="24">
        <f>IFERROR(__xludf.DUMMYFUNCTION("""COMPUTED_VALUE"""),2.0)</f>
        <v>2</v>
      </c>
    </row>
    <row r="238" ht="15.75" customHeight="1">
      <c r="A238" s="23">
        <f>IFERROR(__xludf.DUMMYFUNCTION("""COMPUTED_VALUE"""),408.0)</f>
        <v>408</v>
      </c>
      <c r="B238" s="24" t="str">
        <f>IFERROR(__xludf.DUMMYFUNCTION("""COMPUTED_VALUE"""),"ETTA EYONG")</f>
        <v>ETTA EYONG</v>
      </c>
      <c r="C238" s="24" t="str">
        <f>IFERROR(__xludf.DUMMYFUNCTION("""COMPUTED_VALUE"""),"LEVANTE UD")</f>
        <v>LEVANTE UD</v>
      </c>
      <c r="D238" s="24">
        <f>IFERROR(__xludf.DUMMYFUNCTION("""COMPUTED_VALUE"""),2.0)</f>
        <v>2</v>
      </c>
    </row>
    <row r="239" ht="15.75" customHeight="1">
      <c r="A239" s="23">
        <f>IFERROR(__xludf.DUMMYFUNCTION("""COMPUTED_VALUE"""),409.0)</f>
        <v>409</v>
      </c>
      <c r="B239" s="24" t="str">
        <f>IFERROR(__xludf.DUMMYFUNCTION("""COMPUTED_VALUE"""),"FRAN GONZÁLEZ")</f>
        <v>FRAN GONZÁLEZ</v>
      </c>
      <c r="C239" s="24" t="str">
        <f>IFERROR(__xludf.DUMMYFUNCTION("""COMPUTED_VALUE"""),"REAL MADRID")</f>
        <v>REAL MADRID</v>
      </c>
      <c r="D239" s="24">
        <f>IFERROR(__xludf.DUMMYFUNCTION("""COMPUTED_VALUE"""),1.0)</f>
        <v>1</v>
      </c>
    </row>
    <row r="240" ht="15.75" customHeight="1">
      <c r="A240" s="23">
        <f>IFERROR(__xludf.DUMMYFUNCTION("""COMPUTED_VALUE"""),413.0)</f>
        <v>413</v>
      </c>
      <c r="B240" s="24" t="str">
        <f>IFERROR(__xludf.DUMMYFUNCTION("""COMPUTED_VALUE"""),"VÍCTOR MUÑOZ")</f>
        <v>VÍCTOR MUÑOZ</v>
      </c>
      <c r="C240" s="24" t="str">
        <f>IFERROR(__xludf.DUMMYFUNCTION("""COMPUTED_VALUE"""),"CA OSASUNA")</f>
        <v>CA OSASUNA</v>
      </c>
      <c r="D240" s="24">
        <f>IFERROR(__xludf.DUMMYFUNCTION("""COMPUTED_VALUE"""),1.0)</f>
        <v>1</v>
      </c>
    </row>
    <row r="241" ht="15.75" customHeight="1">
      <c r="A241" s="23">
        <f>IFERROR(__xludf.DUMMYFUNCTION("""COMPUTED_VALUE"""),414.0)</f>
        <v>414</v>
      </c>
      <c r="B241" s="24" t="str">
        <f>IFERROR(__xludf.DUMMYFUNCTION("""COMPUTED_VALUE"""),"RENATO VEIGA")</f>
        <v>RENATO VEIGA</v>
      </c>
      <c r="C241" s="24" t="str">
        <f>IFERROR(__xludf.DUMMYFUNCTION("""COMPUTED_VALUE"""),"VILLARREAL CF")</f>
        <v>VILLARREAL CF</v>
      </c>
      <c r="D241" s="24">
        <f>IFERROR(__xludf.DUMMYFUNCTION("""COMPUTED_VALUE"""),1.0)</f>
        <v>1</v>
      </c>
    </row>
    <row r="242" ht="15.75" customHeight="1">
      <c r="A242" s="24">
        <f>IFERROR(__xludf.DUMMYFUNCTION("""COMPUTED_VALUE"""),415.0)</f>
        <v>415</v>
      </c>
      <c r="B242" s="24" t="str">
        <f>IFERROR(__xludf.DUMMYFUNCTION("""COMPUTED_VALUE"""),"BARRIOS")</f>
        <v>BARRIOS</v>
      </c>
      <c r="C242" s="24" t="str">
        <f>IFERROR(__xludf.DUMMYFUNCTION("""COMPUTED_VALUE"""),"ATLÉTICO DE MADRID")</f>
        <v>ATLÉTICO DE MADRID</v>
      </c>
      <c r="D242" s="24">
        <f>IFERROR(__xludf.DUMMYFUNCTION("""COMPUTED_VALUE"""),1.0)</f>
        <v>1</v>
      </c>
    </row>
    <row r="243" ht="15.75" customHeight="1">
      <c r="A243" s="24">
        <f>IFERROR(__xludf.DUMMYFUNCTION("""COMPUTED_VALUE"""),416.0)</f>
        <v>416</v>
      </c>
      <c r="B243" s="24" t="str">
        <f>IFERROR(__xludf.DUMMYFUNCTION("""COMPUTED_VALUE"""),"SOTELO")</f>
        <v>SOTELO</v>
      </c>
      <c r="C243" s="24" t="str">
        <f>IFERROR(__xludf.DUMMYFUNCTION("""COMPUTED_VALUE"""),"RC CELTA")</f>
        <v>RC CELTA</v>
      </c>
      <c r="D243" s="24">
        <f>IFERROR(__xludf.DUMMYFUNCTION("""COMPUTED_VALUE"""),1.0)</f>
        <v>1</v>
      </c>
    </row>
    <row r="244" ht="15.75" customHeight="1">
      <c r="A244" s="24" t="str">
        <f>IFERROR(__xludf.DUMMYFUNCTION("""COMPUTED_VALUE"""),"417 Bis")</f>
        <v>417 Bis</v>
      </c>
      <c r="B244" s="24" t="str">
        <f>IFERROR(__xludf.DUMMYFUNCTION("""COMPUTED_VALUE"""),"PABLO TORRE")</f>
        <v>PABLO TORRE</v>
      </c>
      <c r="C244" s="24" t="str">
        <f>IFERROR(__xludf.DUMMYFUNCTION("""COMPUTED_VALUE"""),"RCD MALLORCA")</f>
        <v>RCD MALLORCA</v>
      </c>
      <c r="D244" s="24">
        <f>IFERROR(__xludf.DUMMYFUNCTION("""COMPUTED_VALUE"""),1.0)</f>
        <v>1</v>
      </c>
    </row>
    <row r="245" ht="15.75" customHeight="1">
      <c r="A245" s="24">
        <f>IFERROR(__xludf.DUMMYFUNCTION("""COMPUTED_VALUE"""),418.0)</f>
        <v>418</v>
      </c>
      <c r="B245" s="24" t="str">
        <f>IFERROR(__xludf.DUMMYFUNCTION("""COMPUTED_VALUE"""),"EDU EXPÓSITO")</f>
        <v>EDU EXPÓSITO</v>
      </c>
      <c r="C245" s="24" t="str">
        <f>IFERROR(__xludf.DUMMYFUNCTION("""COMPUTED_VALUE"""),"RCD ESPANYOL")</f>
        <v>RCD ESPANYOL</v>
      </c>
      <c r="D245" s="24">
        <f>IFERROR(__xludf.DUMMYFUNCTION("""COMPUTED_VALUE"""),1.0)</f>
        <v>1</v>
      </c>
    </row>
    <row r="246" ht="15.75" customHeight="1">
      <c r="A246" s="24">
        <f>IFERROR(__xludf.DUMMYFUNCTION("""COMPUTED_VALUE"""),419.0)</f>
        <v>419</v>
      </c>
      <c r="B246" s="24" t="str">
        <f>IFERROR(__xludf.DUMMYFUNCTION("""COMPUTED_VALUE"""),"MILLA")</f>
        <v>MILLA</v>
      </c>
      <c r="C246" s="24" t="str">
        <f>IFERROR(__xludf.DUMMYFUNCTION("""COMPUTED_VALUE"""),"GETAFE CF")</f>
        <v>GETAFE CF</v>
      </c>
      <c r="D246" s="24">
        <f>IFERROR(__xludf.DUMMYFUNCTION("""COMPUTED_VALUE"""),1.0)</f>
        <v>1</v>
      </c>
    </row>
    <row r="247" ht="15.75" customHeight="1">
      <c r="A247" s="24">
        <f>IFERROR(__xludf.DUMMYFUNCTION("""COMPUTED_VALUE"""),421.0)</f>
        <v>421</v>
      </c>
      <c r="B247" s="24" t="str">
        <f>IFERROR(__xludf.DUMMYFUNCTION("""COMPUTED_VALUE"""),"AIMAR OROZ")</f>
        <v>AIMAR OROZ</v>
      </c>
      <c r="C247" s="24" t="str">
        <f>IFERROR(__xludf.DUMMYFUNCTION("""COMPUTED_VALUE"""),"CA OSASUNA")</f>
        <v>CA OSASUNA</v>
      </c>
      <c r="D247" s="24">
        <f>IFERROR(__xludf.DUMMYFUNCTION("""COMPUTED_VALUE"""),1.0)</f>
        <v>1</v>
      </c>
    </row>
    <row r="248" ht="15.75" customHeight="1">
      <c r="A248" s="24">
        <f>IFERROR(__xludf.DUMMYFUNCTION("""COMPUTED_VALUE"""),422.0)</f>
        <v>422</v>
      </c>
      <c r="B248" s="24" t="str">
        <f>IFERROR(__xludf.DUMMYFUNCTION("""COMPUTED_VALUE"""),"CAZORLA")</f>
        <v>CAZORLA</v>
      </c>
      <c r="C248" s="24" t="str">
        <f>IFERROR(__xludf.DUMMYFUNCTION("""COMPUTED_VALUE"""),"REAL OVIEDO")</f>
        <v>REAL OVIEDO</v>
      </c>
      <c r="D248" s="24">
        <f>IFERROR(__xludf.DUMMYFUNCTION("""COMPUTED_VALUE"""),2.0)</f>
        <v>2</v>
      </c>
    </row>
    <row r="249" ht="15.75" customHeight="1">
      <c r="A249" s="24">
        <f>IFERROR(__xludf.DUMMYFUNCTION("""COMPUTED_VALUE"""),424.0)</f>
        <v>424</v>
      </c>
      <c r="B249" s="24" t="str">
        <f>IFERROR(__xludf.DUMMYFUNCTION("""COMPUTED_VALUE"""),"TENAGLIA")</f>
        <v>TENAGLIA</v>
      </c>
      <c r="C249" s="24" t="str">
        <f>IFERROR(__xludf.DUMMYFUNCTION("""COMPUTED_VALUE"""),"D. ALAVÉS")</f>
        <v>D. ALAVÉS</v>
      </c>
      <c r="D249" s="24">
        <f>IFERROR(__xludf.DUMMYFUNCTION("""COMPUTED_VALUE"""),1.0)</f>
        <v>1</v>
      </c>
    </row>
    <row r="250" ht="15.75" customHeight="1">
      <c r="A250" s="24">
        <f>IFERROR(__xludf.DUMMYFUNCTION("""COMPUTED_VALUE"""),425.0)</f>
        <v>425</v>
      </c>
      <c r="B250" s="24" t="str">
        <f>IFERROR(__xludf.DUMMYFUNCTION("""COMPUTED_VALUE"""),"CARLOS VICENTE")</f>
        <v>CARLOS VICENTE</v>
      </c>
      <c r="C250" s="24" t="str">
        <f>IFERROR(__xludf.DUMMYFUNCTION("""COMPUTED_VALUE"""),"D. ALAVÉS")</f>
        <v>D. ALAVÉS</v>
      </c>
      <c r="D250" s="24">
        <f>IFERROR(__xludf.DUMMYFUNCTION("""COMPUTED_VALUE"""),1.0)</f>
        <v>1</v>
      </c>
    </row>
    <row r="251" ht="15.75" customHeight="1">
      <c r="A251" s="24">
        <f>IFERROR(__xludf.DUMMYFUNCTION("""COMPUTED_VALUE"""),431.0)</f>
        <v>431</v>
      </c>
      <c r="B251" s="24" t="str">
        <f>IFERROR(__xludf.DUMMYFUNCTION("""COMPUTED_VALUE"""),"MANU SÁNCHEZ")</f>
        <v>MANU SÁNCHEZ</v>
      </c>
      <c r="C251" s="24" t="str">
        <f>IFERROR(__xludf.DUMMYFUNCTION("""COMPUTED_VALUE"""),"LEVANTE UD")</f>
        <v>LEVANTE UD</v>
      </c>
      <c r="D251" s="24">
        <f>IFERROR(__xludf.DUMMYFUNCTION("""COMPUTED_VALUE"""),1.0)</f>
        <v>1</v>
      </c>
    </row>
    <row r="252" ht="15.75" customHeight="1">
      <c r="A252" s="24">
        <f>IFERROR(__xludf.DUMMYFUNCTION("""COMPUTED_VALUE"""),434.0)</f>
        <v>434</v>
      </c>
      <c r="B252" s="24" t="str">
        <f>IFERROR(__xludf.DUMMYFUNCTION("""COMPUTED_VALUE"""),"AARON ESCANDELL")</f>
        <v>AARON ESCANDELL</v>
      </c>
      <c r="C252" s="24" t="str">
        <f>IFERROR(__xludf.DUMMYFUNCTION("""COMPUTED_VALUE"""),"REAL OVIEDO")</f>
        <v>REAL OVIEDO</v>
      </c>
      <c r="D252" s="24">
        <f>IFERROR(__xludf.DUMMYFUNCTION("""COMPUTED_VALUE"""),1.0)</f>
        <v>1</v>
      </c>
    </row>
    <row r="253" ht="15.75" customHeight="1">
      <c r="A253" s="24">
        <f>IFERROR(__xludf.DUMMYFUNCTION("""COMPUTED_VALUE"""),436.0)</f>
        <v>436</v>
      </c>
      <c r="B253" s="24" t="str">
        <f>IFERROR(__xludf.DUMMYFUNCTION("""COMPUTED_VALUE"""),"CARLOS SOLER")</f>
        <v>CARLOS SOLER</v>
      </c>
      <c r="C253" s="24" t="str">
        <f>IFERROR(__xludf.DUMMYFUNCTION("""COMPUTED_VALUE"""),"REAL SOCIEDAD")</f>
        <v>REAL SOCIEDAD</v>
      </c>
      <c r="D253" s="24">
        <f>IFERROR(__xludf.DUMMYFUNCTION("""COMPUTED_VALUE"""),1.0)</f>
        <v>1</v>
      </c>
    </row>
    <row r="254" ht="15.75" customHeight="1">
      <c r="A254" s="24">
        <f>IFERROR(__xludf.DUMMYFUNCTION("""COMPUTED_VALUE"""),437.0)</f>
        <v>437</v>
      </c>
      <c r="B254" s="24" t="str">
        <f>IFERROR(__xludf.DUMMYFUNCTION("""COMPUTED_VALUE"""),"GORROTXATEGI")</f>
        <v>GORROTXATEGI</v>
      </c>
      <c r="C254" s="24" t="str">
        <f>IFERROR(__xludf.DUMMYFUNCTION("""COMPUTED_VALUE"""),"REAL SOCIEDAD")</f>
        <v>REAL SOCIEDAD</v>
      </c>
      <c r="D254" s="24">
        <f>IFERROR(__xludf.DUMMYFUNCTION("""COMPUTED_VALUE"""),1.0)</f>
        <v>1</v>
      </c>
    </row>
    <row r="255" ht="15.75" customHeight="1">
      <c r="A255" s="24">
        <f>IFERROR(__xludf.DUMMYFUNCTION("""COMPUTED_VALUE"""),439.0)</f>
        <v>439</v>
      </c>
      <c r="B255" s="24" t="str">
        <f>IFERROR(__xludf.DUMMYFUNCTION("""COMPUTED_VALUE"""),"ALEXIS SÁNCHEZ")</f>
        <v>ALEXIS SÁNCHEZ</v>
      </c>
      <c r="C255" s="24" t="str">
        <f>IFERROR(__xludf.DUMMYFUNCTION("""COMPUTED_VALUE"""),"SEVILLA FC")</f>
        <v>SEVILLA FC</v>
      </c>
      <c r="D255" s="24">
        <f>IFERROR(__xludf.DUMMYFUNCTION("""COMPUTED_VALUE"""),1.0)</f>
        <v>1</v>
      </c>
    </row>
    <row r="256" ht="15.75" customHeight="1">
      <c r="A256" s="24">
        <f>IFERROR(__xludf.DUMMYFUNCTION("""COMPUTED_VALUE"""),441.0)</f>
        <v>441</v>
      </c>
      <c r="B256" s="24" t="str">
        <f>IFERROR(__xludf.DUMMYFUNCTION("""COMPUTED_VALUE"""),"BUCHANAN")</f>
        <v>BUCHANAN</v>
      </c>
      <c r="C256" s="24" t="str">
        <f>IFERROR(__xludf.DUMMYFUNCTION("""COMPUTED_VALUE"""),"VILLARREAL CF")</f>
        <v>VILLARREAL CF</v>
      </c>
      <c r="D256" s="24">
        <f>IFERROR(__xludf.DUMMYFUNCTION("""COMPUTED_VALUE"""),1.0)</f>
        <v>1</v>
      </c>
    </row>
    <row r="257" ht="15.75" customHeight="1">
      <c r="A257" s="25">
        <f>IFERROR(__xludf.DUMMYFUNCTION("""COMPUTED_VALUE"""),445.0)</f>
        <v>445</v>
      </c>
      <c r="B257" s="25" t="str">
        <f>IFERROR(__xludf.DUMMYFUNCTION("""COMPUTED_VALUE"""),"MARCOS LLORENTE")</f>
        <v>MARCOS LLORENTE</v>
      </c>
      <c r="C257" s="25" t="str">
        <f>IFERROR(__xludf.DUMMYFUNCTION("""COMPUTED_VALUE"""),"ATLÉTICO DE MADRID")</f>
        <v>ATLÉTICO DE MADRID</v>
      </c>
      <c r="D257" s="25">
        <f>IFERROR(__xludf.DUMMYFUNCTION("""COMPUTED_VALUE"""),2.0)</f>
        <v>2</v>
      </c>
    </row>
    <row r="258" ht="15.75" customHeight="1">
      <c r="A258" s="25">
        <f>IFERROR(__xludf.DUMMYFUNCTION("""COMPUTED_VALUE"""),447.0)</f>
        <v>447</v>
      </c>
      <c r="B258" s="25" t="str">
        <f>IFERROR(__xludf.DUMMYFUNCTION("""COMPUTED_VALUE"""),"ALMADA")</f>
        <v>ALMADA</v>
      </c>
      <c r="C258" s="25" t="str">
        <f>IFERROR(__xludf.DUMMYFUNCTION("""COMPUTED_VALUE"""),"ATLÉTICO DE MADRID")</f>
        <v>ATLÉTICO DE MADRID</v>
      </c>
      <c r="D258" s="25">
        <f>IFERROR(__xludf.DUMMYFUNCTION("""COMPUTED_VALUE"""),1.0)</f>
        <v>1</v>
      </c>
    </row>
    <row r="259" ht="15.75" customHeight="1">
      <c r="A259" s="25">
        <f>IFERROR(__xludf.DUMMYFUNCTION("""COMPUTED_VALUE"""),448.0)</f>
        <v>448</v>
      </c>
      <c r="B259" s="25" t="str">
        <f>IFERROR(__xludf.DUMMYFUNCTION("""COMPUTED_VALUE"""),"GRIEZMANN")</f>
        <v>GRIEZMANN</v>
      </c>
      <c r="C259" s="25" t="str">
        <f>IFERROR(__xludf.DUMMYFUNCTION("""COMPUTED_VALUE"""),"ATLÉTICO DE MADRID")</f>
        <v>ATLÉTICO DE MADRID</v>
      </c>
      <c r="D259" s="25">
        <f>IFERROR(__xludf.DUMMYFUNCTION("""COMPUTED_VALUE"""),1.0)</f>
        <v>1</v>
      </c>
    </row>
    <row r="260" ht="15.75" customHeight="1">
      <c r="A260" s="25">
        <f>IFERROR(__xludf.DUMMYFUNCTION("""COMPUTED_VALUE"""),451.0)</f>
        <v>451</v>
      </c>
      <c r="B260" s="25" t="str">
        <f>IFERROR(__xludf.DUMMYFUNCTION("""COMPUTED_VALUE"""),"RAPHINHA")</f>
        <v>RAPHINHA</v>
      </c>
      <c r="C260" s="25" t="str">
        <f>IFERROR(__xludf.DUMMYFUNCTION("""COMPUTED_VALUE"""),"FC BARCELONA")</f>
        <v>FC BARCELONA</v>
      </c>
      <c r="D260" s="25">
        <f>IFERROR(__xludf.DUMMYFUNCTION("""COMPUTED_VALUE"""),1.0)</f>
        <v>1</v>
      </c>
    </row>
    <row r="261" ht="15.75" customHeight="1">
      <c r="A261" s="25">
        <f>IFERROR(__xludf.DUMMYFUNCTION("""COMPUTED_VALUE"""),452.0)</f>
        <v>452</v>
      </c>
      <c r="B261" s="25" t="str">
        <f>IFERROR(__xludf.DUMMYFUNCTION("""COMPUTED_VALUE"""),"LEWANDOWSKI")</f>
        <v>LEWANDOWSKI</v>
      </c>
      <c r="C261" s="25" t="str">
        <f>IFERROR(__xludf.DUMMYFUNCTION("""COMPUTED_VALUE"""),"FC BARCELONA")</f>
        <v>FC BARCELONA</v>
      </c>
      <c r="D261" s="25">
        <f>IFERROR(__xludf.DUMMYFUNCTION("""COMPUTED_VALUE"""),1.0)</f>
        <v>1</v>
      </c>
    </row>
    <row r="262" ht="15.75" customHeight="1">
      <c r="A262" s="25">
        <f>IFERROR(__xludf.DUMMYFUNCTION("""COMPUTED_VALUE"""),455.0)</f>
        <v>455</v>
      </c>
      <c r="B262" s="25" t="str">
        <f>IFERROR(__xludf.DUMMYFUNCTION("""COMPUTED_VALUE"""),"LO CELSO")</f>
        <v>LO CELSO</v>
      </c>
      <c r="C262" s="25" t="str">
        <f>IFERROR(__xludf.DUMMYFUNCTION("""COMPUTED_VALUE"""),"REAL BETIS")</f>
        <v>REAL BETIS</v>
      </c>
      <c r="D262" s="25">
        <f>IFERROR(__xludf.DUMMYFUNCTION("""COMPUTED_VALUE"""),2.0)</f>
        <v>2</v>
      </c>
    </row>
    <row r="263" ht="15.75" customHeight="1">
      <c r="A263" s="25">
        <f>IFERROR(__xludf.DUMMYFUNCTION("""COMPUTED_VALUE"""),457.0)</f>
        <v>457</v>
      </c>
      <c r="B263" s="25" t="str">
        <f>IFERROR(__xludf.DUMMYFUNCTION("""COMPUTED_VALUE"""),"COURTOIS")</f>
        <v>COURTOIS</v>
      </c>
      <c r="C263" s="25" t="str">
        <f>IFERROR(__xludf.DUMMYFUNCTION("""COMPUTED_VALUE"""),"REAL MADRID")</f>
        <v>REAL MADRID</v>
      </c>
      <c r="D263" s="25">
        <f>IFERROR(__xludf.DUMMYFUNCTION("""COMPUTED_VALUE"""),1.0)</f>
        <v>1</v>
      </c>
    </row>
    <row r="264" ht="15.75" customHeight="1">
      <c r="A264" s="25">
        <f>IFERROR(__xludf.DUMMYFUNCTION("""COMPUTED_VALUE"""),458.0)</f>
        <v>458</v>
      </c>
      <c r="B264" s="25" t="str">
        <f>IFERROR(__xludf.DUMMYFUNCTION("""COMPUTED_VALUE"""),"CARRERAS")</f>
        <v>CARRERAS</v>
      </c>
      <c r="C264" s="25" t="str">
        <f>IFERROR(__xludf.DUMMYFUNCTION("""COMPUTED_VALUE"""),"REAL MADRID")</f>
        <v>REAL MADRID</v>
      </c>
      <c r="D264" s="25">
        <f>IFERROR(__xludf.DUMMYFUNCTION("""COMPUTED_VALUE"""),2.0)</f>
        <v>2</v>
      </c>
    </row>
    <row r="265" ht="15.75" customHeight="1">
      <c r="A265" s="25">
        <f>IFERROR(__xludf.DUMMYFUNCTION("""COMPUTED_VALUE"""),460.0)</f>
        <v>460</v>
      </c>
      <c r="B265" s="25" t="str">
        <f>IFERROR(__xludf.DUMMYFUNCTION("""COMPUTED_VALUE"""),"MASTANTUONO")</f>
        <v>MASTANTUONO</v>
      </c>
      <c r="C265" s="25" t="str">
        <f>IFERROR(__xludf.DUMMYFUNCTION("""COMPUTED_VALUE"""),"REAL MADRID")</f>
        <v>REAL MADRID</v>
      </c>
      <c r="D265" s="25">
        <f>IFERROR(__xludf.DUMMYFUNCTION("""COMPUTED_VALUE"""),1.0)</f>
        <v>1</v>
      </c>
    </row>
    <row r="266" ht="15.75" customHeight="1">
      <c r="A266" s="25">
        <f>IFERROR(__xludf.DUMMYFUNCTION("""COMPUTED_VALUE"""),462.0)</f>
        <v>462</v>
      </c>
      <c r="B266" s="25" t="str">
        <f>IFERROR(__xludf.DUMMYFUNCTION("""COMPUTED_VALUE"""),"ISI")</f>
        <v>ISI</v>
      </c>
      <c r="C266" s="25" t="str">
        <f>IFERROR(__xludf.DUMMYFUNCTION("""COMPUTED_VALUE"""),"RAYO VALLECANO")</f>
        <v>RAYO VALLECANO</v>
      </c>
      <c r="D266" s="25">
        <f>IFERROR(__xludf.DUMMYFUNCTION("""COMPUTED_VALUE"""),1.0)</f>
        <v>1</v>
      </c>
    </row>
    <row r="267" ht="15.75" customHeight="1">
      <c r="A267" s="25">
        <f>IFERROR(__xludf.DUMMYFUNCTION("""COMPUTED_VALUE"""),465.0)</f>
        <v>465</v>
      </c>
      <c r="B267" s="25" t="str">
        <f>IFERROR(__xludf.DUMMYFUNCTION("""COMPUTED_VALUE"""),"JAVI GUERRA")</f>
        <v>JAVI GUERRA</v>
      </c>
      <c r="C267" s="25" t="str">
        <f>IFERROR(__xludf.DUMMYFUNCTION("""COMPUTED_VALUE"""),"VALENCIA CF")</f>
        <v>VALENCIA CF</v>
      </c>
      <c r="D267" s="25">
        <f>IFERROR(__xludf.DUMMYFUNCTION("""COMPUTED_VALUE"""),1.0)</f>
        <v>1</v>
      </c>
    </row>
    <row r="268" ht="15.75" customHeight="1">
      <c r="A268" s="25">
        <f>IFERROR(__xludf.DUMMYFUNCTION("""COMPUTED_VALUE"""),469.0)</f>
        <v>469</v>
      </c>
      <c r="B268" s="25" t="str">
        <f>IFERROR(__xludf.DUMMYFUNCTION("""COMPUTED_VALUE"""),"NICO WILLIAMS")</f>
        <v>NICO WILLIAMS</v>
      </c>
      <c r="C268" s="25" t="str">
        <f>IFERROR(__xludf.DUMMYFUNCTION("""COMPUTED_VALUE"""),"BALÓN DE ORO (ATHLETIC)")</f>
        <v>BALÓN DE ORO (ATHLETIC)</v>
      </c>
      <c r="D268" s="25">
        <f>IFERROR(__xludf.DUMMYFUNCTION("""COMPUTED_VALUE"""),1.0)</f>
        <v>1</v>
      </c>
    </row>
    <row r="269" ht="15.75" customHeight="1">
      <c r="A269" s="25">
        <f>IFERROR(__xludf.DUMMYFUNCTION("""COMPUTED_VALUE"""),473.0)</f>
        <v>473</v>
      </c>
      <c r="B269" s="25" t="str">
        <f>IFERROR(__xludf.DUMMYFUNCTION("""COMPUTED_VALUE"""),"VINÍCIUS")</f>
        <v>VINÍCIUS</v>
      </c>
      <c r="C269" s="25" t="str">
        <f>IFERROR(__xludf.DUMMYFUNCTION("""COMPUTED_VALUE"""),"BALÓN DE ORO (REAL MADRID)")</f>
        <v>BALÓN DE ORO (REAL MADRID)</v>
      </c>
      <c r="D269" s="25">
        <f>IFERROR(__xludf.DUMMYFUNCTION("""COMPUTED_VALUE"""),1.0)</f>
        <v>1</v>
      </c>
    </row>
    <row r="270" ht="15.75" customHeight="1">
      <c r="A270" s="25" t="str">
        <f>IFERROR(__xludf.DUMMYFUNCTION("""COMPUTED_VALUE"""),"3MN")</f>
        <v>3MN</v>
      </c>
      <c r="B270" s="25" t="str">
        <f>IFERROR(__xludf.DUMMYFUNCTION("""COMPUTED_VALUE"""),"TRENT")</f>
        <v>TRENT</v>
      </c>
      <c r="C270" s="25" t="str">
        <f>IFERROR(__xludf.DUMMYFUNCTION("""COMPUTED_VALUE"""),"REAL MADRID")</f>
        <v>REAL MADRID</v>
      </c>
      <c r="D270" s="25">
        <f>IFERROR(__xludf.DUMMYFUNCTION("""COMPUTED_VALUE"""),1.0)</f>
        <v>1</v>
      </c>
    </row>
    <row r="271" ht="15.75" customHeight="1">
      <c r="A271" s="25" t="str">
        <f>IFERROR(__xludf.DUMMYFUNCTION("""COMPUTED_VALUE"""),"4MN")</f>
        <v>4MN</v>
      </c>
      <c r="B271" s="25" t="str">
        <f>IFERROR(__xludf.DUMMYFUNCTION("""COMPUTED_VALUE"""),"CALETA-CAR")</f>
        <v>CALETA-CAR</v>
      </c>
      <c r="C271" s="25" t="str">
        <f>IFERROR(__xludf.DUMMYFUNCTION("""COMPUTED_VALUE"""),"REAL SOCIEDAD")</f>
        <v>REAL SOCIEDAD</v>
      </c>
      <c r="D271" s="25">
        <f>IFERROR(__xludf.DUMMYFUNCTION("""COMPUTED_VALUE"""),2.0)</f>
        <v>2</v>
      </c>
    </row>
    <row r="272" ht="15.75" customHeight="1">
      <c r="A272" s="25" t="str">
        <f>IFERROR(__xludf.DUMMYFUNCTION("""COMPUTED_VALUE"""),"8MN")</f>
        <v>8MN</v>
      </c>
      <c r="B272" s="25" t="str">
        <f>IFERROR(__xludf.DUMMYFUNCTION("""COMPUTED_VALUE"""),"SANTAMARIA")</f>
        <v>SANTAMARIA</v>
      </c>
      <c r="C272" s="25" t="str">
        <f>IFERROR(__xludf.DUMMYFUNCTION("""COMPUTED_VALUE"""),"VALENCIA CF")</f>
        <v>VALENCIA CF</v>
      </c>
      <c r="D272" s="25">
        <f>IFERROR(__xludf.DUMMYFUNCTION("""COMPUTED_VALUE"""),1.0)</f>
        <v>1</v>
      </c>
    </row>
    <row r="273" ht="15.75" customHeight="1">
      <c r="A273" s="25" t="str">
        <f>IFERROR(__xludf.DUMMYFUNCTION("""COMPUTED_VALUE"""),"9MN")</f>
        <v>9MN</v>
      </c>
      <c r="B273" s="25" t="str">
        <f>IFERROR(__xludf.DUMMYFUNCTION("""COMPUTED_VALUE"""),"AMRABAT")</f>
        <v>AMRABAT</v>
      </c>
      <c r="C273" s="25" t="str">
        <f>IFERROR(__xludf.DUMMYFUNCTION("""COMPUTED_VALUE"""),"REAL BETIS")</f>
        <v>REAL BETIS</v>
      </c>
      <c r="D273" s="25">
        <f>IFERROR(__xludf.DUMMYFUNCTION("""COMPUTED_VALUE"""),1.0)</f>
        <v>1</v>
      </c>
    </row>
    <row r="274" ht="15.75" customHeight="1">
      <c r="A274" s="25" t="str">
        <f>IFERROR(__xludf.DUMMYFUNCTION("""COMPUTED_VALUE"""),"11MN")</f>
        <v>11MN</v>
      </c>
      <c r="B274" s="25" t="str">
        <f>IFERROR(__xludf.DUMMYFUNCTION("""COMPUTED_VALUE"""),"ALMADA")</f>
        <v>ALMADA</v>
      </c>
      <c r="C274" s="25" t="str">
        <f>IFERROR(__xludf.DUMMYFUNCTION("""COMPUTED_VALUE"""),"ATLETICO DE MADRID")</f>
        <v>ATLETICO DE MADRID</v>
      </c>
      <c r="D274" s="25">
        <f>IFERROR(__xludf.DUMMYFUNCTION("""COMPUTED_VALUE"""),1.0)</f>
        <v>1</v>
      </c>
    </row>
    <row r="275" ht="15.75" customHeight="1">
      <c r="A275" s="25" t="str">
        <f>IFERROR(__xludf.DUMMYFUNCTION("""COMPUTED_VALUE"""),"14MN")</f>
        <v>14MN</v>
      </c>
      <c r="B275" s="25" t="str">
        <f>IFERROR(__xludf.DUMMYFUNCTION("""COMPUTED_VALUE"""),"RASHFORD")</f>
        <v>RASHFORD</v>
      </c>
      <c r="C275" s="25" t="str">
        <f>IFERROR(__xludf.DUMMYFUNCTION("""COMPUTED_VALUE"""),"FC BARCELONA")</f>
        <v>FC BARCELONA</v>
      </c>
      <c r="D275" s="25">
        <f>IFERROR(__xludf.DUMMYFUNCTION("""COMPUTED_VALUE"""),1.0)</f>
        <v>1</v>
      </c>
    </row>
    <row r="276" ht="15.75" customHeight="1">
      <c r="A276" s="25" t="str">
        <f>IFERROR(__xludf.DUMMYFUNCTION("""COMPUTED_VALUE"""),"8 BIS")</f>
        <v>8 BIS</v>
      </c>
      <c r="B276" s="25" t="str">
        <f>IFERROR(__xludf.DUMMYFUNCTION("""COMPUTED_VALUE"""),"YUSI ENRÍQUEZ")</f>
        <v>YUSI ENRÍQUEZ</v>
      </c>
      <c r="C276" s="25" t="str">
        <f>IFERROR(__xludf.DUMMYFUNCTION("""COMPUTED_VALUE"""),"D. Alavés")</f>
        <v>D. Alavés</v>
      </c>
      <c r="D276" s="25">
        <f>IFERROR(__xludf.DUMMYFUNCTION("""COMPUTED_VALUE"""),1.0)</f>
        <v>1</v>
      </c>
    </row>
    <row r="277" ht="15.75" customHeight="1">
      <c r="A277" s="25" t="str">
        <f>IFERROR(__xludf.DUMMYFUNCTION("""COMPUTED_VALUE"""),"29 BIS")</f>
        <v>29 BIS</v>
      </c>
      <c r="B277" s="25" t="str">
        <f>IFERROR(__xludf.DUMMYFUNCTION("""COMPUTED_VALUE"""),"SELTON BIAI")</f>
        <v>SELTON BIAI</v>
      </c>
      <c r="C277" s="25" t="str">
        <f>IFERROR(__xludf.DUMMYFUNCTION("""COMPUTED_VALUE"""),"Athletic Club")</f>
        <v>Athletic Club</v>
      </c>
      <c r="D277" s="25">
        <f>IFERROR(__xludf.DUMMYFUNCTION("""COMPUTED_VALUE"""),1.0)</f>
        <v>1</v>
      </c>
    </row>
    <row r="278" ht="15.75" customHeight="1">
      <c r="A278" s="25" t="str">
        <f>IFERROR(__xludf.DUMMYFUNCTION("""COMPUTED_VALUE"""),"40 BIS")</f>
        <v>40 BIS</v>
      </c>
      <c r="B278" s="25" t="str">
        <f>IFERROR(__xludf.DUMMYFUNCTION("""COMPUTED_VALUE"""),"NAHUEL MOLINA")</f>
        <v>NAHUEL MOLINA</v>
      </c>
      <c r="C278" s="25" t="str">
        <f>IFERROR(__xludf.DUMMYFUNCTION("""COMPUTED_VALUE"""),"Atlético de Madrid")</f>
        <v>Atlético de Madrid</v>
      </c>
      <c r="D278" s="25">
        <f>IFERROR(__xludf.DUMMYFUNCTION("""COMPUTED_VALUE"""),1.0)</f>
        <v>1</v>
      </c>
    </row>
    <row r="279" ht="15.75" customHeight="1">
      <c r="A279" s="25" t="str">
        <f>IFERROR(__xludf.DUMMYFUNCTION("""COMPUTED_VALUE"""),"63 BIS")</f>
        <v>63 BIS</v>
      </c>
      <c r="B279" s="25" t="str">
        <f>IFERROR(__xludf.DUMMYFUNCTION("""COMPUTED_VALUE"""),"MARC BERNAL")</f>
        <v>MARC BERNAL</v>
      </c>
      <c r="C279" s="25" t="str">
        <f>IFERROR(__xludf.DUMMYFUNCTION("""COMPUTED_VALUE"""),"FC Barcelona")</f>
        <v>FC Barcelona</v>
      </c>
      <c r="D279" s="25">
        <f>IFERROR(__xludf.DUMMYFUNCTION("""COMPUTED_VALUE"""),1.0)</f>
        <v>1</v>
      </c>
    </row>
    <row r="280" ht="15.75" customHeight="1">
      <c r="A280" s="25" t="str">
        <f>IFERROR(__xludf.DUMMYFUNCTION("""COMPUTED_VALUE"""),"90 BIS")</f>
        <v>90 BIS</v>
      </c>
      <c r="B280" s="25" t="str">
        <f>IFERROR(__xludf.DUMMYFUNCTION("""COMPUTED_VALUE"""),"CHIMY ÁVILA")</f>
        <v>CHIMY ÁVILA</v>
      </c>
      <c r="C280" s="25" t="str">
        <f>IFERROR(__xludf.DUMMYFUNCTION("""COMPUTED_VALUE"""),"Real Betis")</f>
        <v>Real Betis</v>
      </c>
      <c r="D280" s="25">
        <f>IFERROR(__xludf.DUMMYFUNCTION("""COMPUTED_VALUE"""),1.0)</f>
        <v>1</v>
      </c>
    </row>
    <row r="281" ht="15.75" customHeight="1">
      <c r="A281" s="25" t="str">
        <f>IFERROR(__xludf.DUMMYFUNCTION("""COMPUTED_VALUE"""),"105 BIS")</f>
        <v>105 BIS</v>
      </c>
      <c r="B281" s="25" t="str">
        <f>IFERROR(__xludf.DUMMYFUNCTION("""COMPUTED_VALUE"""),"ANOUAR EL-ABDELLAOUI")</f>
        <v>ANOUAR EL-ABDELLAOUI</v>
      </c>
      <c r="C281" s="25" t="str">
        <f>IFERROR(__xludf.DUMMYFUNCTION("""COMPUTED_VALUE"""),"RC Celta")</f>
        <v>RC Celta</v>
      </c>
      <c r="D281" s="25">
        <f>IFERROR(__xludf.DUMMYFUNCTION("""COMPUTED_VALUE"""),1.0)</f>
        <v>1</v>
      </c>
    </row>
    <row r="282" ht="15.75" customHeight="1">
      <c r="A282" s="25" t="str">
        <f>IFERROR(__xludf.DUMMYFUNCTION("""COMPUTED_VALUE"""),"192 BIS")</f>
        <v>192 BIS</v>
      </c>
      <c r="B282" s="25" t="str">
        <f>IFERROR(__xludf.DUMMYFUNCTION("""COMPUTED_VALUE"""),"IKER LOSADA")</f>
        <v>IKER LOSADA</v>
      </c>
      <c r="C282" s="25" t="str">
        <f>IFERROR(__xludf.DUMMYFUNCTION("""COMPUTED_VALUE"""),"Levante UD")</f>
        <v>Levante UD</v>
      </c>
      <c r="D282" s="25">
        <f>IFERROR(__xludf.DUMMYFUNCTION("""COMPUTED_VALUE"""),1.0)</f>
        <v>1</v>
      </c>
    </row>
    <row r="283" ht="15.75" customHeight="1">
      <c r="A283" s="25" t="str">
        <f>IFERROR(__xludf.DUMMYFUNCTION("""COMPUTED_VALUE"""),"194 BIS")</f>
        <v>194 BIS</v>
      </c>
      <c r="B283" s="25" t="str">
        <f>IFERROR(__xludf.DUMMYFUNCTION("""COMPUTED_VALUE"""),"TUNDE AKINSOLA")</f>
        <v>TUNDE AKINSOLA</v>
      </c>
      <c r="C283" s="25" t="str">
        <f>IFERROR(__xludf.DUMMYFUNCTION("""COMPUTED_VALUE"""),"Levante UD")</f>
        <v>Levante UD</v>
      </c>
      <c r="D283" s="25">
        <f>IFERROR(__xludf.DUMMYFUNCTION("""COMPUTED_VALUE"""),1.0)</f>
        <v>1</v>
      </c>
    </row>
    <row r="284" ht="15.75" customHeight="1">
      <c r="A284" s="25" t="str">
        <f>IFERROR(__xludf.DUMMYFUNCTION("""COMPUTED_VALUE"""),"211 BIS")</f>
        <v>211 BIS</v>
      </c>
      <c r="B284" s="25" t="str">
        <f>IFERROR(__xludf.DUMMYFUNCTION("""COMPUTED_VALUE"""),"DANI CEBALLOS")</f>
        <v>DANI CEBALLOS</v>
      </c>
      <c r="C284" s="25" t="str">
        <f>IFERROR(__xludf.DUMMYFUNCTION("""COMPUTED_VALUE"""),"Real Madrid")</f>
        <v>Real Madrid</v>
      </c>
      <c r="D284" s="25">
        <f>IFERROR(__xludf.DUMMYFUNCTION("""COMPUTED_VALUE"""),1.0)</f>
        <v>1</v>
      </c>
    </row>
    <row r="285" ht="15.75" customHeight="1">
      <c r="A285" s="25" t="str">
        <f>IFERROR(__xludf.DUMMYFUNCTION("""COMPUTED_VALUE"""),"241 BIS")</f>
        <v>241 BIS</v>
      </c>
      <c r="B285" s="25" t="str">
        <f>IFERROR(__xludf.DUMMYFUNCTION("""COMPUTED_VALUE"""),"IÑIGO ARGUIBIDE")</f>
        <v>IÑIGO ARGUIBIDE</v>
      </c>
      <c r="C285" s="25" t="str">
        <f>IFERROR(__xludf.DUMMYFUNCTION("""COMPUTED_VALUE"""),"CA Osasuna")</f>
        <v>CA Osasuna</v>
      </c>
      <c r="D285" s="25">
        <f>IFERROR(__xludf.DUMMYFUNCTION("""COMPUTED_VALUE"""),1.0)</f>
        <v>1</v>
      </c>
    </row>
    <row r="286" ht="15.75" customHeight="1">
      <c r="A286" s="25" t="str">
        <f>IFERROR(__xludf.DUMMYFUNCTION("""COMPUTED_VALUE"""),"278 BIS")</f>
        <v>278 BIS</v>
      </c>
      <c r="B286" s="25" t="str">
        <f>IFERROR(__xludf.DUMMYFUNCTION("""COMPUTED_VALUE"""),"ALFONSO ESPINO")</f>
        <v>ALFONSO ESPINO</v>
      </c>
      <c r="C286" s="25" t="str">
        <f>IFERROR(__xludf.DUMMYFUNCTION("""COMPUTED_VALUE"""),"Rayo Vallecano")</f>
        <v>Rayo Vallecano</v>
      </c>
      <c r="D286" s="25">
        <f>IFERROR(__xludf.DUMMYFUNCTION("""COMPUTED_VALUE"""),1.0)</f>
        <v>1</v>
      </c>
    </row>
    <row r="287" ht="15.75" customHeight="1">
      <c r="A287" s="25" t="str">
        <f>IFERROR(__xludf.DUMMYFUNCTION("""COMPUTED_VALUE"""),"347 BIS")</f>
        <v>347 BIS</v>
      </c>
      <c r="B287" s="25" t="str">
        <f>IFERROR(__xludf.DUMMYFUNCTION("""COMPUTED_VALUE"""),"PAU NAVARRO")</f>
        <v>PAU NAVARRO</v>
      </c>
      <c r="C287" s="25" t="str">
        <f>IFERROR(__xludf.DUMMYFUNCTION("""COMPUTED_VALUE"""),"Villarreal CF")</f>
        <v>Villarreal CF</v>
      </c>
      <c r="D287" s="25">
        <f>IFERROR(__xludf.DUMMYFUNCTION("""COMPUTED_VALUE"""),1.0)</f>
        <v>1</v>
      </c>
    </row>
    <row r="288" ht="15.75" customHeight="1">
      <c r="A288" s="25" t="str">
        <f>IFERROR(__xludf.DUMMYFUNCTION("""COMPUTED_VALUE"""),"1 Momentum")</f>
        <v>1 Momentum</v>
      </c>
      <c r="B288" s="25" t="str">
        <f>IFERROR(__xludf.DUMMYFUNCTION("""COMPUTED_VALUE"""),"Koke")</f>
        <v>Koke</v>
      </c>
      <c r="C288" s="25" t="str">
        <f>IFERROR(__xludf.DUMMYFUNCTION("""COMPUTED_VALUE"""),"Atlético de Madrid")</f>
        <v>Atlético de Madrid</v>
      </c>
      <c r="D288" s="25">
        <f>IFERROR(__xludf.DUMMYFUNCTION("""COMPUTED_VALUE"""),1.0)</f>
        <v>1</v>
      </c>
    </row>
    <row r="289" ht="15.75" customHeight="1">
      <c r="A289" s="25">
        <f>IFERROR(__xludf.DUMMYFUNCTION("""COMPUTED_VALUE"""),1.0)</f>
        <v>1</v>
      </c>
      <c r="B289" s="25" t="str">
        <f>IFERROR(__xludf.DUMMYFUNCTION("""COMPUTED_VALUE"""),"ESTADIO")</f>
        <v>ESTADIO</v>
      </c>
      <c r="C289" s="25" t="str">
        <f>IFERROR(__xludf.DUMMYFUNCTION("""COMPUTED_VALUE"""),"D. ALAVÉS")</f>
        <v>D. ALAVÉS</v>
      </c>
      <c r="D289" s="25">
        <f>IFERROR(__xludf.DUMMYFUNCTION("""COMPUTED_VALUE"""),2.0)</f>
        <v>2</v>
      </c>
    </row>
    <row r="290" ht="15.75" customHeight="1">
      <c r="A290" s="25">
        <f>IFERROR(__xludf.DUMMYFUNCTION("""COMPUTED_VALUE"""),19.0)</f>
        <v>19</v>
      </c>
      <c r="B290" s="25" t="str">
        <f>IFERROR(__xludf.DUMMYFUNCTION("""COMPUTED_VALUE"""),"ESTADIO")</f>
        <v>ESTADIO</v>
      </c>
      <c r="C290" s="25" t="str">
        <f>IFERROR(__xludf.DUMMYFUNCTION("""COMPUTED_VALUE"""),"ATHLETIC CLUB")</f>
        <v>ATHLETIC CLUB</v>
      </c>
      <c r="D290" s="25">
        <f>IFERROR(__xludf.DUMMYFUNCTION("""COMPUTED_VALUE"""),2.0)</f>
        <v>2</v>
      </c>
    </row>
    <row r="291" ht="15.75" customHeight="1">
      <c r="A291" s="25">
        <f>IFERROR(__xludf.DUMMYFUNCTION("""COMPUTED_VALUE"""),37.0)</f>
        <v>37</v>
      </c>
      <c r="B291" s="25" t="str">
        <f>IFERROR(__xludf.DUMMYFUNCTION("""COMPUTED_VALUE"""),"ESTADIO")</f>
        <v>ESTADIO</v>
      </c>
      <c r="C291" s="25" t="str">
        <f>IFERROR(__xludf.DUMMYFUNCTION("""COMPUTED_VALUE"""),"ATLÉTICO DE MADRID")</f>
        <v>ATLÉTICO DE MADRID</v>
      </c>
      <c r="D291" s="25">
        <f>IFERROR(__xludf.DUMMYFUNCTION("""COMPUTED_VALUE"""),1.0)</f>
        <v>1</v>
      </c>
    </row>
    <row r="292" ht="15.75" customHeight="1">
      <c r="A292" s="25">
        <f>IFERROR(__xludf.DUMMYFUNCTION("""COMPUTED_VALUE"""),55.0)</f>
        <v>55</v>
      </c>
      <c r="B292" s="25" t="str">
        <f>IFERROR(__xludf.DUMMYFUNCTION("""COMPUTED_VALUE"""),"ESTADIO")</f>
        <v>ESTADIO</v>
      </c>
      <c r="C292" s="25" t="str">
        <f>IFERROR(__xludf.DUMMYFUNCTION("""COMPUTED_VALUE"""),"FC BARCELONA")</f>
        <v>FC BARCELONA</v>
      </c>
      <c r="D292" s="25">
        <f>IFERROR(__xludf.DUMMYFUNCTION("""COMPUTED_VALUE"""),1.0)</f>
        <v>1</v>
      </c>
    </row>
    <row r="293" ht="15.75" customHeight="1">
      <c r="A293" s="25">
        <f>IFERROR(__xludf.DUMMYFUNCTION("""COMPUTED_VALUE"""),73.0)</f>
        <v>73</v>
      </c>
      <c r="B293" s="25" t="str">
        <f>IFERROR(__xludf.DUMMYFUNCTION("""COMPUTED_VALUE"""),"ESTADIO")</f>
        <v>ESTADIO</v>
      </c>
      <c r="C293" s="25" t="str">
        <f>IFERROR(__xludf.DUMMYFUNCTION("""COMPUTED_VALUE"""),"REAL BETIS")</f>
        <v>REAL BETIS</v>
      </c>
      <c r="D293" s="25">
        <f>IFERROR(__xludf.DUMMYFUNCTION("""COMPUTED_VALUE"""),1.0)</f>
        <v>1</v>
      </c>
    </row>
    <row r="294" ht="15.75" customHeight="1">
      <c r="A294" s="25">
        <f>IFERROR(__xludf.DUMMYFUNCTION("""COMPUTED_VALUE"""),109.0)</f>
        <v>109</v>
      </c>
      <c r="B294" s="25" t="str">
        <f>IFERROR(__xludf.DUMMYFUNCTION("""COMPUTED_VALUE"""),"ESTADIO")</f>
        <v>ESTADIO</v>
      </c>
      <c r="C294" s="25" t="str">
        <f>IFERROR(__xludf.DUMMYFUNCTION("""COMPUTED_VALUE"""),"ELCHE CF")</f>
        <v>ELCHE CF</v>
      </c>
      <c r="D294" s="25">
        <f>IFERROR(__xludf.DUMMYFUNCTION("""COMPUTED_VALUE"""),1.0)</f>
        <v>1</v>
      </c>
    </row>
    <row r="295" ht="15.75" customHeight="1">
      <c r="A295" s="25">
        <f>IFERROR(__xludf.DUMMYFUNCTION("""COMPUTED_VALUE"""),127.0)</f>
        <v>127</v>
      </c>
      <c r="B295" s="25" t="str">
        <f>IFERROR(__xludf.DUMMYFUNCTION("""COMPUTED_VALUE"""),"ESTADIO")</f>
        <v>ESTADIO</v>
      </c>
      <c r="C295" s="25" t="str">
        <f>IFERROR(__xludf.DUMMYFUNCTION("""COMPUTED_VALUE"""),"RCD ESPANYOL")</f>
        <v>RCD ESPANYOL</v>
      </c>
      <c r="D295" s="25">
        <f>IFERROR(__xludf.DUMMYFUNCTION("""COMPUTED_VALUE"""),1.0)</f>
        <v>1</v>
      </c>
    </row>
    <row r="296" ht="15.75" customHeight="1">
      <c r="A296" s="25">
        <f>IFERROR(__xludf.DUMMYFUNCTION("""COMPUTED_VALUE"""),145.0)</f>
        <v>145</v>
      </c>
      <c r="B296" s="25" t="str">
        <f>IFERROR(__xludf.DUMMYFUNCTION("""COMPUTED_VALUE"""),"ESTADIO")</f>
        <v>ESTADIO</v>
      </c>
      <c r="C296" s="25" t="str">
        <f>IFERROR(__xludf.DUMMYFUNCTION("""COMPUTED_VALUE"""),"GETAFE CF")</f>
        <v>GETAFE CF</v>
      </c>
      <c r="D296" s="25">
        <f>IFERROR(__xludf.DUMMYFUNCTION("""COMPUTED_VALUE"""),1.0)</f>
        <v>1</v>
      </c>
    </row>
    <row r="297" ht="15.75" customHeight="1">
      <c r="A297" s="25">
        <f>IFERROR(__xludf.DUMMYFUNCTION("""COMPUTED_VALUE"""),199.0)</f>
        <v>199</v>
      </c>
      <c r="B297" s="25" t="str">
        <f>IFERROR(__xludf.DUMMYFUNCTION("""COMPUTED_VALUE"""),"ESTADIO")</f>
        <v>ESTADIO</v>
      </c>
      <c r="C297" s="25" t="str">
        <f>IFERROR(__xludf.DUMMYFUNCTION("""COMPUTED_VALUE"""),"REAL MADRID")</f>
        <v>REAL MADRID</v>
      </c>
      <c r="D297" s="25">
        <f>IFERROR(__xludf.DUMMYFUNCTION("""COMPUTED_VALUE"""),2.0)</f>
        <v>2</v>
      </c>
    </row>
    <row r="298" ht="15.75" customHeight="1">
      <c r="A298" s="25">
        <f>IFERROR(__xludf.DUMMYFUNCTION("""COMPUTED_VALUE"""),217.0)</f>
        <v>217</v>
      </c>
      <c r="B298" s="25" t="str">
        <f>IFERROR(__xludf.DUMMYFUNCTION("""COMPUTED_VALUE"""),"ESTADIO")</f>
        <v>ESTADIO</v>
      </c>
      <c r="C298" s="25" t="str">
        <f>IFERROR(__xludf.DUMMYFUNCTION("""COMPUTED_VALUE"""),"RCD MALLORCA")</f>
        <v>RCD MALLORCA</v>
      </c>
      <c r="D298" s="25">
        <f>IFERROR(__xludf.DUMMYFUNCTION("""COMPUTED_VALUE"""),1.0)</f>
        <v>1</v>
      </c>
    </row>
    <row r="299" ht="15.75" customHeight="1">
      <c r="A299" s="25">
        <f>IFERROR(__xludf.DUMMYFUNCTION("""COMPUTED_VALUE"""),235.0)</f>
        <v>235</v>
      </c>
      <c r="B299" s="25" t="str">
        <f>IFERROR(__xludf.DUMMYFUNCTION("""COMPUTED_VALUE"""),"ESTADIO")</f>
        <v>ESTADIO</v>
      </c>
      <c r="C299" s="25" t="str">
        <f>IFERROR(__xludf.DUMMYFUNCTION("""COMPUTED_VALUE"""),"CA OSASUNA")</f>
        <v>CA OSASUNA</v>
      </c>
      <c r="D299" s="25">
        <f>IFERROR(__xludf.DUMMYFUNCTION("""COMPUTED_VALUE"""),3.0)</f>
        <v>3</v>
      </c>
    </row>
    <row r="300" ht="15.75" customHeight="1">
      <c r="A300" s="25">
        <f>IFERROR(__xludf.DUMMYFUNCTION("""COMPUTED_VALUE"""),253.0)</f>
        <v>253</v>
      </c>
      <c r="B300" s="25" t="str">
        <f>IFERROR(__xludf.DUMMYFUNCTION("""COMPUTED_VALUE"""),"ESTADIO")</f>
        <v>ESTADIO</v>
      </c>
      <c r="C300" s="25" t="str">
        <f>IFERROR(__xludf.DUMMYFUNCTION("""COMPUTED_VALUE"""),"REAL OVIEDO")</f>
        <v>REAL OVIEDO</v>
      </c>
      <c r="D300" s="25">
        <f>IFERROR(__xludf.DUMMYFUNCTION("""COMPUTED_VALUE"""),1.0)</f>
        <v>1</v>
      </c>
    </row>
    <row r="301" ht="15.75" customHeight="1">
      <c r="A301" s="25">
        <f>IFERROR(__xludf.DUMMYFUNCTION("""COMPUTED_VALUE"""),271.0)</f>
        <v>271</v>
      </c>
      <c r="B301" s="25" t="str">
        <f>IFERROR(__xludf.DUMMYFUNCTION("""COMPUTED_VALUE"""),"ESTADIO")</f>
        <v>ESTADIO</v>
      </c>
      <c r="C301" s="25" t="str">
        <f>IFERROR(__xludf.DUMMYFUNCTION("""COMPUTED_VALUE"""),"RAYO VALLECANO")</f>
        <v>RAYO VALLECANO</v>
      </c>
      <c r="D301" s="25">
        <f>IFERROR(__xludf.DUMMYFUNCTION("""COMPUTED_VALUE"""),2.0)</f>
        <v>2</v>
      </c>
    </row>
    <row r="302" ht="15.75" customHeight="1">
      <c r="A302" s="25">
        <f>IFERROR(__xludf.DUMMYFUNCTION("""COMPUTED_VALUE"""),307.0)</f>
        <v>307</v>
      </c>
      <c r="B302" s="25" t="str">
        <f>IFERROR(__xludf.DUMMYFUNCTION("""COMPUTED_VALUE"""),"ESTADIO")</f>
        <v>ESTADIO</v>
      </c>
      <c r="C302" s="25" t="str">
        <f>IFERROR(__xludf.DUMMYFUNCTION("""COMPUTED_VALUE"""),"SEVILLA FC")</f>
        <v>SEVILLA FC</v>
      </c>
      <c r="D302" s="25">
        <f>IFERROR(__xludf.DUMMYFUNCTION("""COMPUTED_VALUE"""),2.0)</f>
        <v>2</v>
      </c>
    </row>
    <row r="303" ht="15.75" customHeight="1">
      <c r="A303" s="25">
        <f>IFERROR(__xludf.DUMMYFUNCTION("""COMPUTED_VALUE"""),325.0)</f>
        <v>325</v>
      </c>
      <c r="B303" s="25" t="str">
        <f>IFERROR(__xludf.DUMMYFUNCTION("""COMPUTED_VALUE"""),"ESTADIO")</f>
        <v>ESTADIO</v>
      </c>
      <c r="C303" s="25" t="str">
        <f>IFERROR(__xludf.DUMMYFUNCTION("""COMPUTED_VALUE"""),"VALENCIA CF")</f>
        <v>VALENCIA CF</v>
      </c>
      <c r="D303" s="25">
        <f>IFERROR(__xludf.DUMMYFUNCTION("""COMPUTED_VALUE"""),2.0)</f>
        <v>2</v>
      </c>
    </row>
    <row r="304" ht="15.75" customHeight="1">
      <c r="A304" s="25">
        <f>IFERROR(__xludf.DUMMYFUNCTION("""COMPUTED_VALUE"""),343.0)</f>
        <v>343</v>
      </c>
      <c r="B304" s="25" t="str">
        <f>IFERROR(__xludf.DUMMYFUNCTION("""COMPUTED_VALUE"""),"ESTADIO")</f>
        <v>ESTADIO</v>
      </c>
      <c r="C304" s="25" t="str">
        <f>IFERROR(__xludf.DUMMYFUNCTION("""COMPUTED_VALUE"""),"VILLARREAL CF")</f>
        <v>VILLARREAL CF</v>
      </c>
      <c r="D304" s="25">
        <f>IFERROR(__xludf.DUMMYFUNCTION("""COMPUTED_VALUE"""),2.0)</f>
        <v>2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17.75"/>
    <col customWidth="1" min="4" max="6" width="12.63"/>
  </cols>
  <sheetData>
    <row r="1" ht="15.75" customHeight="1">
      <c r="A1" s="27">
        <v>1.0</v>
      </c>
      <c r="B1" s="27" t="s">
        <v>20</v>
      </c>
      <c r="C1" s="27" t="s">
        <v>21</v>
      </c>
      <c r="D1" s="27" t="s">
        <v>22</v>
      </c>
      <c r="E1" s="28">
        <v>1.0</v>
      </c>
    </row>
    <row r="2" ht="15.75" customHeight="1">
      <c r="A2" s="27">
        <v>2.0</v>
      </c>
      <c r="B2" s="27" t="s">
        <v>23</v>
      </c>
      <c r="C2" s="27" t="s">
        <v>21</v>
      </c>
      <c r="D2" s="27" t="s">
        <v>22</v>
      </c>
    </row>
    <row r="3" ht="15.75" customHeight="1">
      <c r="A3" s="27">
        <v>3.0</v>
      </c>
      <c r="B3" s="27" t="s">
        <v>24</v>
      </c>
      <c r="C3" s="27" t="s">
        <v>21</v>
      </c>
      <c r="D3" s="27" t="s">
        <v>22</v>
      </c>
      <c r="E3" s="24">
        <v>1.0</v>
      </c>
    </row>
    <row r="4" ht="15.75" customHeight="1">
      <c r="A4" s="27">
        <v>4.0</v>
      </c>
      <c r="B4" s="27" t="s">
        <v>25</v>
      </c>
      <c r="C4" s="27" t="s">
        <v>21</v>
      </c>
      <c r="D4" s="27" t="s">
        <v>22</v>
      </c>
      <c r="E4" s="24">
        <v>1.0</v>
      </c>
    </row>
    <row r="5" ht="15.75" customHeight="1">
      <c r="A5" s="27">
        <v>5.0</v>
      </c>
      <c r="B5" s="27" t="s">
        <v>26</v>
      </c>
      <c r="C5" s="27" t="s">
        <v>21</v>
      </c>
      <c r="D5" s="27" t="s">
        <v>22</v>
      </c>
      <c r="E5" s="24">
        <v>1.0</v>
      </c>
    </row>
    <row r="6" ht="15.75" customHeight="1">
      <c r="A6" s="27">
        <v>6.0</v>
      </c>
      <c r="B6" s="27" t="s">
        <v>27</v>
      </c>
      <c r="C6" s="27" t="s">
        <v>21</v>
      </c>
      <c r="D6" s="27" t="s">
        <v>22</v>
      </c>
    </row>
    <row r="7" ht="15.75" customHeight="1">
      <c r="A7" s="27">
        <v>7.0</v>
      </c>
      <c r="B7" s="27" t="s">
        <v>28</v>
      </c>
      <c r="C7" s="27" t="s">
        <v>21</v>
      </c>
      <c r="D7" s="27" t="s">
        <v>22</v>
      </c>
      <c r="E7" s="28">
        <v>1.0</v>
      </c>
    </row>
    <row r="8" ht="15.75" customHeight="1">
      <c r="A8" s="27">
        <v>8.0</v>
      </c>
      <c r="B8" s="27" t="s">
        <v>29</v>
      </c>
      <c r="C8" s="27" t="s">
        <v>21</v>
      </c>
      <c r="D8" s="27" t="s">
        <v>22</v>
      </c>
      <c r="E8" s="24">
        <v>1.0</v>
      </c>
    </row>
    <row r="9" ht="15.75" customHeight="1">
      <c r="A9" s="27">
        <v>9.0</v>
      </c>
      <c r="B9" s="27" t="s">
        <v>30</v>
      </c>
      <c r="C9" s="27" t="s">
        <v>21</v>
      </c>
      <c r="D9" s="27" t="s">
        <v>22</v>
      </c>
    </row>
    <row r="10" ht="15.75" customHeight="1">
      <c r="A10" s="27">
        <v>10.0</v>
      </c>
      <c r="B10" s="27" t="s">
        <v>31</v>
      </c>
      <c r="C10" s="27" t="s">
        <v>21</v>
      </c>
      <c r="D10" s="27" t="s">
        <v>22</v>
      </c>
    </row>
    <row r="11" ht="15.75" customHeight="1">
      <c r="A11" s="27">
        <v>11.0</v>
      </c>
      <c r="B11" s="27" t="s">
        <v>32</v>
      </c>
      <c r="C11" s="27" t="s">
        <v>21</v>
      </c>
      <c r="D11" s="27" t="s">
        <v>22</v>
      </c>
    </row>
    <row r="12" ht="15.75" customHeight="1">
      <c r="A12" s="27">
        <v>12.0</v>
      </c>
      <c r="B12" s="27" t="s">
        <v>33</v>
      </c>
      <c r="C12" s="27" t="s">
        <v>21</v>
      </c>
      <c r="D12" s="27" t="s">
        <v>22</v>
      </c>
    </row>
    <row r="13" ht="15.75" customHeight="1">
      <c r="A13" s="27">
        <v>13.0</v>
      </c>
      <c r="B13" s="27" t="s">
        <v>34</v>
      </c>
      <c r="C13" s="27" t="s">
        <v>21</v>
      </c>
      <c r="D13" s="27"/>
    </row>
    <row r="14" ht="15.75" customHeight="1">
      <c r="A14" s="27">
        <v>14.0</v>
      </c>
      <c r="B14" s="27" t="s">
        <v>35</v>
      </c>
      <c r="C14" s="27" t="s">
        <v>21</v>
      </c>
      <c r="D14" s="27" t="s">
        <v>22</v>
      </c>
    </row>
    <row r="15" ht="15.75" customHeight="1">
      <c r="A15" s="27">
        <v>15.0</v>
      </c>
      <c r="B15" s="27" t="s">
        <v>36</v>
      </c>
      <c r="C15" s="27" t="s">
        <v>21</v>
      </c>
      <c r="D15" s="27" t="s">
        <v>22</v>
      </c>
      <c r="E15" s="28">
        <v>1.0</v>
      </c>
    </row>
    <row r="16" ht="15.75" customHeight="1">
      <c r="A16" s="27">
        <v>16.0</v>
      </c>
      <c r="B16" s="27" t="s">
        <v>37</v>
      </c>
      <c r="C16" s="27" t="s">
        <v>21</v>
      </c>
      <c r="D16" s="27" t="s">
        <v>22</v>
      </c>
      <c r="E16" s="24">
        <v>1.0</v>
      </c>
    </row>
    <row r="17" ht="15.75" customHeight="1">
      <c r="A17" s="27">
        <v>17.0</v>
      </c>
      <c r="B17" s="27" t="s">
        <v>38</v>
      </c>
      <c r="C17" s="27" t="s">
        <v>21</v>
      </c>
      <c r="D17" s="27" t="s">
        <v>22</v>
      </c>
      <c r="E17" s="24">
        <v>1.0</v>
      </c>
    </row>
    <row r="18" ht="15.75" customHeight="1">
      <c r="A18" s="27">
        <v>18.0</v>
      </c>
      <c r="B18" s="27" t="s">
        <v>39</v>
      </c>
      <c r="C18" s="27" t="s">
        <v>21</v>
      </c>
      <c r="D18" s="27" t="s">
        <v>22</v>
      </c>
      <c r="E18" s="28">
        <v>2.0</v>
      </c>
    </row>
    <row r="19" ht="15.75" customHeight="1">
      <c r="A19" s="27">
        <v>19.0</v>
      </c>
      <c r="B19" s="27" t="s">
        <v>20</v>
      </c>
      <c r="C19" s="27" t="s">
        <v>40</v>
      </c>
      <c r="D19" s="27" t="s">
        <v>22</v>
      </c>
      <c r="E19" s="29">
        <v>1.0</v>
      </c>
    </row>
    <row r="20" ht="15.75" customHeight="1">
      <c r="A20" s="27">
        <v>20.0</v>
      </c>
      <c r="B20" s="27" t="s">
        <v>41</v>
      </c>
      <c r="C20" s="27" t="s">
        <v>40</v>
      </c>
      <c r="D20" s="27"/>
    </row>
    <row r="21" ht="15.75" customHeight="1">
      <c r="A21" s="27">
        <v>21.0</v>
      </c>
      <c r="B21" s="27" t="s">
        <v>42</v>
      </c>
      <c r="C21" s="27" t="s">
        <v>40</v>
      </c>
      <c r="D21" s="27" t="s">
        <v>22</v>
      </c>
      <c r="E21" s="24">
        <v>1.0</v>
      </c>
    </row>
    <row r="22" ht="15.75" customHeight="1">
      <c r="A22" s="27">
        <v>22.0</v>
      </c>
      <c r="B22" s="27" t="s">
        <v>43</v>
      </c>
      <c r="C22" s="27" t="s">
        <v>40</v>
      </c>
      <c r="D22" s="27" t="s">
        <v>22</v>
      </c>
    </row>
    <row r="23" ht="15.75" customHeight="1">
      <c r="A23" s="27">
        <v>23.0</v>
      </c>
      <c r="B23" s="27" t="s">
        <v>44</v>
      </c>
      <c r="C23" s="27" t="s">
        <v>40</v>
      </c>
      <c r="D23" s="27" t="s">
        <v>22</v>
      </c>
      <c r="E23" s="24">
        <v>2.0</v>
      </c>
    </row>
    <row r="24" ht="15.75" customHeight="1">
      <c r="A24" s="27">
        <v>24.0</v>
      </c>
      <c r="B24" s="27" t="s">
        <v>45</v>
      </c>
      <c r="C24" s="27" t="s">
        <v>40</v>
      </c>
      <c r="D24" s="27" t="s">
        <v>22</v>
      </c>
    </row>
    <row r="25" ht="15.75" customHeight="1">
      <c r="A25" s="27">
        <v>25.0</v>
      </c>
      <c r="B25" s="27" t="s">
        <v>46</v>
      </c>
      <c r="C25" s="27" t="s">
        <v>40</v>
      </c>
      <c r="D25" s="27" t="s">
        <v>22</v>
      </c>
    </row>
    <row r="26" ht="15.75" customHeight="1">
      <c r="A26" s="27">
        <v>26.0</v>
      </c>
      <c r="B26" s="27" t="s">
        <v>47</v>
      </c>
      <c r="C26" s="27" t="s">
        <v>40</v>
      </c>
      <c r="D26" s="27"/>
    </row>
    <row r="27" ht="15.75" customHeight="1">
      <c r="A27" s="27">
        <v>27.0</v>
      </c>
      <c r="B27" s="27" t="s">
        <v>48</v>
      </c>
      <c r="C27" s="27" t="s">
        <v>40</v>
      </c>
      <c r="D27" s="27" t="s">
        <v>22</v>
      </c>
      <c r="E27" s="24">
        <v>1.0</v>
      </c>
    </row>
    <row r="28" ht="15.75" customHeight="1">
      <c r="A28" s="27">
        <v>28.0</v>
      </c>
      <c r="B28" s="27" t="s">
        <v>49</v>
      </c>
      <c r="C28" s="27" t="s">
        <v>40</v>
      </c>
      <c r="D28" s="27" t="s">
        <v>22</v>
      </c>
    </row>
    <row r="29" ht="15.75" customHeight="1">
      <c r="A29" s="27">
        <v>29.0</v>
      </c>
      <c r="B29" s="27" t="s">
        <v>50</v>
      </c>
      <c r="C29" s="27" t="s">
        <v>40</v>
      </c>
      <c r="D29" s="27" t="s">
        <v>22</v>
      </c>
    </row>
    <row r="30" ht="15.75" customHeight="1">
      <c r="A30" s="27">
        <v>30.0</v>
      </c>
      <c r="B30" s="27" t="s">
        <v>51</v>
      </c>
      <c r="C30" s="27" t="s">
        <v>40</v>
      </c>
      <c r="D30" s="27" t="s">
        <v>22</v>
      </c>
    </row>
    <row r="31" ht="15.75" customHeight="1">
      <c r="A31" s="27">
        <v>31.0</v>
      </c>
      <c r="B31" s="27" t="s">
        <v>52</v>
      </c>
      <c r="C31" s="27" t="s">
        <v>40</v>
      </c>
      <c r="D31" s="27" t="s">
        <v>22</v>
      </c>
      <c r="E31" s="28">
        <v>1.0</v>
      </c>
    </row>
    <row r="32" ht="15.75" customHeight="1">
      <c r="A32" s="27">
        <v>32.0</v>
      </c>
      <c r="B32" s="27" t="s">
        <v>53</v>
      </c>
      <c r="C32" s="27" t="s">
        <v>40</v>
      </c>
      <c r="D32" s="27" t="s">
        <v>22</v>
      </c>
      <c r="E32" s="24">
        <v>1.0</v>
      </c>
    </row>
    <row r="33" ht="15.75" customHeight="1">
      <c r="A33" s="27">
        <v>33.0</v>
      </c>
      <c r="B33" s="27" t="s">
        <v>54</v>
      </c>
      <c r="C33" s="27" t="s">
        <v>40</v>
      </c>
      <c r="D33" s="27" t="s">
        <v>22</v>
      </c>
      <c r="E33" s="24">
        <v>1.0</v>
      </c>
    </row>
    <row r="34" ht="15.75" customHeight="1">
      <c r="A34" s="27">
        <v>34.0</v>
      </c>
      <c r="B34" s="27" t="s">
        <v>55</v>
      </c>
      <c r="C34" s="27" t="s">
        <v>40</v>
      </c>
      <c r="D34" s="27" t="s">
        <v>22</v>
      </c>
      <c r="E34" s="24">
        <v>1.0</v>
      </c>
    </row>
    <row r="35" ht="15.75" customHeight="1">
      <c r="A35" s="27">
        <v>35.0</v>
      </c>
      <c r="B35" s="27" t="s">
        <v>56</v>
      </c>
      <c r="C35" s="27" t="s">
        <v>40</v>
      </c>
      <c r="D35" s="27" t="s">
        <v>22</v>
      </c>
    </row>
    <row r="36" ht="15.75" customHeight="1">
      <c r="A36" s="27">
        <v>36.0</v>
      </c>
      <c r="B36" s="27" t="s">
        <v>57</v>
      </c>
      <c r="C36" s="27" t="s">
        <v>40</v>
      </c>
      <c r="D36" s="27" t="s">
        <v>22</v>
      </c>
      <c r="E36" s="24"/>
    </row>
    <row r="37" ht="15.75" customHeight="1">
      <c r="A37" s="27">
        <v>37.0</v>
      </c>
      <c r="B37" s="27" t="s">
        <v>20</v>
      </c>
      <c r="C37" s="27" t="s">
        <v>58</v>
      </c>
      <c r="D37" s="27" t="s">
        <v>22</v>
      </c>
    </row>
    <row r="38" ht="15.75" customHeight="1">
      <c r="A38" s="27">
        <v>38.0</v>
      </c>
      <c r="B38" s="27" t="s">
        <v>59</v>
      </c>
      <c r="C38" s="27" t="s">
        <v>58</v>
      </c>
      <c r="D38" s="27" t="s">
        <v>22</v>
      </c>
      <c r="E38" s="24"/>
    </row>
    <row r="39" ht="15.75" customHeight="1">
      <c r="A39" s="27">
        <v>39.0</v>
      </c>
      <c r="B39" s="27" t="s">
        <v>60</v>
      </c>
      <c r="C39" s="27" t="s">
        <v>58</v>
      </c>
      <c r="D39" s="27" t="s">
        <v>22</v>
      </c>
      <c r="E39" s="24">
        <v>2.0</v>
      </c>
    </row>
    <row r="40" ht="15.75" customHeight="1">
      <c r="A40" s="27">
        <v>40.0</v>
      </c>
      <c r="B40" s="27" t="s">
        <v>61</v>
      </c>
      <c r="C40" s="27" t="s">
        <v>58</v>
      </c>
      <c r="D40" s="27" t="s">
        <v>22</v>
      </c>
      <c r="E40" s="24">
        <v>1.0</v>
      </c>
    </row>
    <row r="41" ht="15.75" customHeight="1">
      <c r="A41" s="27">
        <v>41.0</v>
      </c>
      <c r="B41" s="27" t="s">
        <v>62</v>
      </c>
      <c r="C41" s="27" t="s">
        <v>58</v>
      </c>
      <c r="D41" s="27" t="s">
        <v>22</v>
      </c>
    </row>
    <row r="42" ht="15.75" customHeight="1">
      <c r="A42" s="27">
        <v>42.0</v>
      </c>
      <c r="B42" s="27" t="s">
        <v>63</v>
      </c>
      <c r="C42" s="27" t="s">
        <v>58</v>
      </c>
      <c r="D42" s="27" t="s">
        <v>22</v>
      </c>
      <c r="E42" s="24">
        <v>3.0</v>
      </c>
    </row>
    <row r="43" ht="15.75" customHeight="1">
      <c r="A43" s="27">
        <v>43.0</v>
      </c>
      <c r="B43" s="27" t="s">
        <v>64</v>
      </c>
      <c r="C43" s="27" t="s">
        <v>58</v>
      </c>
      <c r="D43" s="27" t="s">
        <v>22</v>
      </c>
      <c r="E43" s="24">
        <v>1.0</v>
      </c>
    </row>
    <row r="44" ht="15.75" customHeight="1">
      <c r="A44" s="27">
        <v>44.0</v>
      </c>
      <c r="B44" s="27" t="s">
        <v>65</v>
      </c>
      <c r="C44" s="27" t="s">
        <v>58</v>
      </c>
      <c r="D44" s="27" t="s">
        <v>22</v>
      </c>
    </row>
    <row r="45" ht="15.75" customHeight="1">
      <c r="A45" s="27">
        <v>45.0</v>
      </c>
      <c r="B45" s="27" t="s">
        <v>66</v>
      </c>
      <c r="C45" s="27" t="s">
        <v>58</v>
      </c>
      <c r="D45" s="27" t="s">
        <v>22</v>
      </c>
    </row>
    <row r="46" ht="15.75" customHeight="1">
      <c r="A46" s="27">
        <v>46.0</v>
      </c>
      <c r="B46" s="27" t="s">
        <v>67</v>
      </c>
      <c r="C46" s="27" t="s">
        <v>58</v>
      </c>
      <c r="D46" s="27" t="s">
        <v>22</v>
      </c>
      <c r="E46" s="29">
        <v>1.0</v>
      </c>
    </row>
    <row r="47" ht="15.75" customHeight="1">
      <c r="A47" s="27">
        <v>47.0</v>
      </c>
      <c r="B47" s="27" t="s">
        <v>68</v>
      </c>
      <c r="C47" s="27" t="s">
        <v>58</v>
      </c>
      <c r="D47" s="27" t="s">
        <v>22</v>
      </c>
    </row>
    <row r="48" ht="15.75" customHeight="1">
      <c r="A48" s="27">
        <v>48.0</v>
      </c>
      <c r="B48" s="27" t="s">
        <v>69</v>
      </c>
      <c r="C48" s="27" t="s">
        <v>58</v>
      </c>
      <c r="D48" s="27" t="s">
        <v>22</v>
      </c>
      <c r="E48" s="29">
        <v>1.0</v>
      </c>
    </row>
    <row r="49" ht="15.75" customHeight="1">
      <c r="A49" s="27">
        <v>49.0</v>
      </c>
      <c r="B49" s="27" t="s">
        <v>70</v>
      </c>
      <c r="C49" s="27" t="s">
        <v>58</v>
      </c>
      <c r="D49" s="27" t="s">
        <v>22</v>
      </c>
      <c r="E49" s="24">
        <v>2.0</v>
      </c>
    </row>
    <row r="50" ht="15.75" customHeight="1">
      <c r="A50" s="27">
        <v>50.0</v>
      </c>
      <c r="B50" s="27" t="s">
        <v>71</v>
      </c>
      <c r="C50" s="27" t="s">
        <v>58</v>
      </c>
      <c r="D50" s="27" t="s">
        <v>22</v>
      </c>
    </row>
    <row r="51" ht="15.75" customHeight="1">
      <c r="A51" s="27">
        <v>51.0</v>
      </c>
      <c r="B51" s="27" t="s">
        <v>72</v>
      </c>
      <c r="C51" s="27" t="s">
        <v>58</v>
      </c>
      <c r="D51" s="27" t="s">
        <v>22</v>
      </c>
    </row>
    <row r="52" ht="15.75" customHeight="1">
      <c r="A52" s="27">
        <v>52.0</v>
      </c>
      <c r="B52" s="27" t="s">
        <v>73</v>
      </c>
      <c r="C52" s="27" t="s">
        <v>58</v>
      </c>
      <c r="D52" s="27" t="s">
        <v>22</v>
      </c>
      <c r="E52" s="24">
        <v>1.0</v>
      </c>
    </row>
    <row r="53" ht="15.75" customHeight="1">
      <c r="A53" s="27">
        <v>53.0</v>
      </c>
      <c r="B53" s="27" t="s">
        <v>74</v>
      </c>
      <c r="C53" s="27" t="s">
        <v>58</v>
      </c>
      <c r="D53" s="27" t="s">
        <v>22</v>
      </c>
    </row>
    <row r="54" ht="15.75" customHeight="1">
      <c r="A54" s="27">
        <v>54.0</v>
      </c>
      <c r="B54" s="27" t="s">
        <v>75</v>
      </c>
      <c r="C54" s="27" t="s">
        <v>58</v>
      </c>
      <c r="D54" s="27" t="s">
        <v>22</v>
      </c>
    </row>
    <row r="55" ht="15.75" customHeight="1">
      <c r="A55" s="27">
        <v>55.0</v>
      </c>
      <c r="B55" s="27" t="s">
        <v>20</v>
      </c>
      <c r="C55" s="27" t="s">
        <v>76</v>
      </c>
      <c r="D55" s="27" t="s">
        <v>22</v>
      </c>
      <c r="E55" s="24">
        <v>1.0</v>
      </c>
    </row>
    <row r="56" ht="15.75" customHeight="1">
      <c r="A56" s="27">
        <v>56.0</v>
      </c>
      <c r="B56" s="27" t="s">
        <v>77</v>
      </c>
      <c r="C56" s="27" t="s">
        <v>76</v>
      </c>
      <c r="D56" s="27" t="s">
        <v>22</v>
      </c>
    </row>
    <row r="57" ht="15.75" customHeight="1">
      <c r="A57" s="27">
        <v>57.0</v>
      </c>
      <c r="B57" s="27" t="s">
        <v>78</v>
      </c>
      <c r="C57" s="27" t="s">
        <v>76</v>
      </c>
      <c r="D57" s="27"/>
    </row>
    <row r="58" ht="15.75" customHeight="1">
      <c r="A58" s="27">
        <v>58.0</v>
      </c>
      <c r="B58" s="27" t="s">
        <v>79</v>
      </c>
      <c r="C58" s="27" t="s">
        <v>76</v>
      </c>
      <c r="D58" s="27" t="s">
        <v>22</v>
      </c>
    </row>
    <row r="59" ht="15.75" customHeight="1">
      <c r="A59" s="27">
        <v>59.0</v>
      </c>
      <c r="B59" s="27" t="s">
        <v>80</v>
      </c>
      <c r="C59" s="27" t="s">
        <v>76</v>
      </c>
      <c r="D59" s="27" t="s">
        <v>22</v>
      </c>
    </row>
    <row r="60" ht="15.75" customHeight="1">
      <c r="A60" s="27">
        <v>60.0</v>
      </c>
      <c r="B60" s="27" t="s">
        <v>81</v>
      </c>
      <c r="C60" s="27" t="s">
        <v>76</v>
      </c>
      <c r="D60" s="27" t="s">
        <v>22</v>
      </c>
      <c r="E60" s="29">
        <v>1.0</v>
      </c>
    </row>
    <row r="61" ht="15.75" customHeight="1">
      <c r="A61" s="27">
        <v>61.0</v>
      </c>
      <c r="B61" s="27" t="s">
        <v>82</v>
      </c>
      <c r="C61" s="27" t="s">
        <v>76</v>
      </c>
      <c r="D61" s="27" t="s">
        <v>22</v>
      </c>
      <c r="E61" s="24">
        <v>1.0</v>
      </c>
    </row>
    <row r="62" ht="15.75" customHeight="1">
      <c r="A62" s="27">
        <v>62.0</v>
      </c>
      <c r="B62" s="27" t="s">
        <v>83</v>
      </c>
      <c r="C62" s="27" t="s">
        <v>76</v>
      </c>
      <c r="D62" s="27" t="s">
        <v>22</v>
      </c>
      <c r="E62" s="29">
        <v>1.0</v>
      </c>
    </row>
    <row r="63" ht="15.75" customHeight="1">
      <c r="A63" s="27">
        <v>63.0</v>
      </c>
      <c r="B63" s="27" t="s">
        <v>84</v>
      </c>
      <c r="C63" s="27" t="s">
        <v>76</v>
      </c>
      <c r="D63" s="27" t="s">
        <v>22</v>
      </c>
      <c r="E63" s="28">
        <v>1.0</v>
      </c>
    </row>
    <row r="64" ht="15.75" customHeight="1">
      <c r="A64" s="27">
        <v>64.0</v>
      </c>
      <c r="B64" s="27" t="s">
        <v>85</v>
      </c>
      <c r="C64" s="27" t="s">
        <v>76</v>
      </c>
      <c r="D64" s="27" t="s">
        <v>22</v>
      </c>
    </row>
    <row r="65" ht="15.75" customHeight="1">
      <c r="A65" s="27">
        <v>65.0</v>
      </c>
      <c r="B65" s="27" t="s">
        <v>86</v>
      </c>
      <c r="C65" s="27" t="s">
        <v>76</v>
      </c>
      <c r="D65" s="27" t="s">
        <v>22</v>
      </c>
      <c r="E65" s="28">
        <v>1.0</v>
      </c>
    </row>
    <row r="66" ht="15.75" customHeight="1">
      <c r="A66" s="27">
        <v>66.0</v>
      </c>
      <c r="B66" s="27" t="s">
        <v>87</v>
      </c>
      <c r="C66" s="27" t="s">
        <v>76</v>
      </c>
      <c r="D66" s="27" t="s">
        <v>22</v>
      </c>
      <c r="E66" s="24">
        <v>1.0</v>
      </c>
    </row>
    <row r="67" ht="15.75" customHeight="1">
      <c r="A67" s="27">
        <v>67.0</v>
      </c>
      <c r="B67" s="27" t="s">
        <v>88</v>
      </c>
      <c r="C67" s="27" t="s">
        <v>76</v>
      </c>
      <c r="D67" s="27" t="s">
        <v>22</v>
      </c>
      <c r="E67" s="24">
        <v>2.0</v>
      </c>
    </row>
    <row r="68" ht="15.75" customHeight="1">
      <c r="A68" s="27">
        <v>68.0</v>
      </c>
      <c r="B68" s="27" t="s">
        <v>89</v>
      </c>
      <c r="C68" s="27" t="s">
        <v>76</v>
      </c>
      <c r="D68" s="27" t="s">
        <v>22</v>
      </c>
    </row>
    <row r="69" ht="15.75" customHeight="1">
      <c r="A69" s="27">
        <v>69.0</v>
      </c>
      <c r="B69" s="27" t="s">
        <v>90</v>
      </c>
      <c r="C69" s="27" t="s">
        <v>76</v>
      </c>
      <c r="D69" s="27" t="s">
        <v>22</v>
      </c>
    </row>
    <row r="70" ht="15.75" customHeight="1">
      <c r="A70" s="27">
        <v>70.0</v>
      </c>
      <c r="B70" s="27" t="s">
        <v>91</v>
      </c>
      <c r="C70" s="27" t="s">
        <v>76</v>
      </c>
      <c r="D70" s="27" t="s">
        <v>22</v>
      </c>
    </row>
    <row r="71" ht="15.75" customHeight="1">
      <c r="A71" s="27">
        <v>71.0</v>
      </c>
      <c r="B71" s="27" t="s">
        <v>92</v>
      </c>
      <c r="C71" s="27" t="s">
        <v>76</v>
      </c>
      <c r="D71" s="27" t="s">
        <v>22</v>
      </c>
    </row>
    <row r="72" ht="15.75" customHeight="1">
      <c r="A72" s="27">
        <v>72.0</v>
      </c>
      <c r="B72" s="27" t="s">
        <v>93</v>
      </c>
      <c r="C72" s="27" t="s">
        <v>76</v>
      </c>
      <c r="D72" s="27" t="s">
        <v>22</v>
      </c>
      <c r="E72" s="29">
        <v>1.0</v>
      </c>
    </row>
    <row r="73" ht="15.75" customHeight="1">
      <c r="A73" s="27">
        <v>73.0</v>
      </c>
      <c r="B73" s="27" t="s">
        <v>20</v>
      </c>
      <c r="C73" s="27" t="s">
        <v>94</v>
      </c>
      <c r="D73" s="27" t="s">
        <v>22</v>
      </c>
      <c r="E73" s="24">
        <v>1.0</v>
      </c>
    </row>
    <row r="74" ht="15.75" customHeight="1">
      <c r="A74" s="27">
        <v>74.0</v>
      </c>
      <c r="B74" s="27" t="s">
        <v>95</v>
      </c>
      <c r="C74" s="27" t="s">
        <v>94</v>
      </c>
      <c r="D74" s="27" t="s">
        <v>22</v>
      </c>
      <c r="E74" s="24">
        <v>2.0</v>
      </c>
    </row>
    <row r="75" ht="15.75" customHeight="1">
      <c r="A75" s="27">
        <v>75.0</v>
      </c>
      <c r="B75" s="27" t="s">
        <v>96</v>
      </c>
      <c r="C75" s="27" t="s">
        <v>94</v>
      </c>
      <c r="D75" s="27" t="s">
        <v>22</v>
      </c>
      <c r="E75" s="29">
        <v>1.0</v>
      </c>
    </row>
    <row r="76" ht="15.75" customHeight="1">
      <c r="A76" s="27">
        <v>76.0</v>
      </c>
      <c r="B76" s="27" t="s">
        <v>97</v>
      </c>
      <c r="C76" s="27" t="s">
        <v>94</v>
      </c>
      <c r="D76" s="27" t="s">
        <v>22</v>
      </c>
      <c r="E76" s="24">
        <v>1.0</v>
      </c>
    </row>
    <row r="77" ht="15.75" customHeight="1">
      <c r="A77" s="27">
        <v>77.0</v>
      </c>
      <c r="B77" s="27" t="s">
        <v>98</v>
      </c>
      <c r="C77" s="27" t="s">
        <v>94</v>
      </c>
      <c r="D77" s="27" t="s">
        <v>22</v>
      </c>
    </row>
    <row r="78" ht="15.75" customHeight="1">
      <c r="A78" s="27">
        <v>78.0</v>
      </c>
      <c r="B78" s="27" t="s">
        <v>99</v>
      </c>
      <c r="C78" s="27" t="s">
        <v>94</v>
      </c>
      <c r="D78" s="27" t="s">
        <v>22</v>
      </c>
    </row>
    <row r="79" ht="15.75" customHeight="1">
      <c r="A79" s="27">
        <v>79.0</v>
      </c>
      <c r="B79" s="27" t="s">
        <v>100</v>
      </c>
      <c r="C79" s="27" t="s">
        <v>94</v>
      </c>
      <c r="D79" s="27" t="s">
        <v>22</v>
      </c>
      <c r="E79" s="24">
        <v>1.0</v>
      </c>
    </row>
    <row r="80" ht="15.75" customHeight="1">
      <c r="A80" s="27">
        <v>80.0</v>
      </c>
      <c r="B80" s="27" t="s">
        <v>101</v>
      </c>
      <c r="C80" s="27" t="s">
        <v>94</v>
      </c>
      <c r="D80" s="27" t="s">
        <v>22</v>
      </c>
      <c r="E80" s="29">
        <v>1.0</v>
      </c>
    </row>
    <row r="81" ht="15.75" customHeight="1">
      <c r="A81" s="27">
        <v>81.0</v>
      </c>
      <c r="B81" s="27" t="s">
        <v>102</v>
      </c>
      <c r="C81" s="27" t="s">
        <v>94</v>
      </c>
      <c r="D81" s="27" t="s">
        <v>22</v>
      </c>
      <c r="E81" s="24">
        <v>2.0</v>
      </c>
    </row>
    <row r="82" ht="15.75" customHeight="1">
      <c r="A82" s="27">
        <v>82.0</v>
      </c>
      <c r="B82" s="27" t="s">
        <v>103</v>
      </c>
      <c r="C82" s="27" t="s">
        <v>94</v>
      </c>
      <c r="D82" s="27" t="s">
        <v>22</v>
      </c>
    </row>
    <row r="83" ht="15.75" customHeight="1">
      <c r="A83" s="27">
        <v>83.0</v>
      </c>
      <c r="B83" s="27" t="s">
        <v>104</v>
      </c>
      <c r="C83" s="27" t="s">
        <v>94</v>
      </c>
      <c r="D83" s="27"/>
    </row>
    <row r="84" ht="15.75" customHeight="1">
      <c r="A84" s="27">
        <v>84.0</v>
      </c>
      <c r="B84" s="27" t="s">
        <v>105</v>
      </c>
      <c r="C84" s="27" t="s">
        <v>94</v>
      </c>
      <c r="D84" s="27" t="s">
        <v>22</v>
      </c>
      <c r="E84" s="24">
        <v>1.0</v>
      </c>
    </row>
    <row r="85" ht="15.75" customHeight="1">
      <c r="A85" s="27">
        <v>85.0</v>
      </c>
      <c r="B85" s="27" t="s">
        <v>106</v>
      </c>
      <c r="C85" s="27" t="s">
        <v>94</v>
      </c>
      <c r="D85" s="27"/>
    </row>
    <row r="86" ht="15.75" customHeight="1">
      <c r="A86" s="27">
        <v>86.0</v>
      </c>
      <c r="B86" s="27" t="s">
        <v>107</v>
      </c>
      <c r="C86" s="27" t="s">
        <v>94</v>
      </c>
      <c r="D86" s="27" t="s">
        <v>22</v>
      </c>
    </row>
    <row r="87" ht="15.75" customHeight="1">
      <c r="A87" s="27">
        <v>87.0</v>
      </c>
      <c r="B87" s="27" t="s">
        <v>108</v>
      </c>
      <c r="C87" s="27" t="s">
        <v>94</v>
      </c>
      <c r="D87" s="27" t="s">
        <v>22</v>
      </c>
    </row>
    <row r="88" ht="15.75" customHeight="1">
      <c r="A88" s="27">
        <v>88.0</v>
      </c>
      <c r="B88" s="27" t="s">
        <v>109</v>
      </c>
      <c r="C88" s="27" t="s">
        <v>94</v>
      </c>
      <c r="D88" s="27" t="s">
        <v>22</v>
      </c>
      <c r="E88" s="24">
        <v>2.0</v>
      </c>
    </row>
    <row r="89" ht="15.75" customHeight="1">
      <c r="A89" s="27">
        <v>89.0</v>
      </c>
      <c r="B89" s="27" t="s">
        <v>110</v>
      </c>
      <c r="C89" s="27" t="s">
        <v>94</v>
      </c>
      <c r="D89" s="27"/>
    </row>
    <row r="90" ht="15.75" customHeight="1">
      <c r="A90" s="27">
        <v>90.0</v>
      </c>
      <c r="B90" s="27" t="s">
        <v>111</v>
      </c>
      <c r="C90" s="27" t="s">
        <v>94</v>
      </c>
      <c r="D90" s="27"/>
    </row>
    <row r="91" ht="15.75" customHeight="1">
      <c r="A91" s="27">
        <v>91.0</v>
      </c>
      <c r="B91" s="27" t="s">
        <v>20</v>
      </c>
      <c r="C91" s="27" t="s">
        <v>112</v>
      </c>
      <c r="D91" s="27" t="s">
        <v>22</v>
      </c>
      <c r="E91" s="24">
        <v>1.0</v>
      </c>
    </row>
    <row r="92" ht="15.75" customHeight="1">
      <c r="A92" s="27">
        <v>92.0</v>
      </c>
      <c r="B92" s="27" t="s">
        <v>113</v>
      </c>
      <c r="C92" s="27" t="s">
        <v>112</v>
      </c>
      <c r="D92" s="27"/>
    </row>
    <row r="93" ht="15.75" customHeight="1">
      <c r="A93" s="27">
        <v>93.0</v>
      </c>
      <c r="B93" s="27" t="s">
        <v>114</v>
      </c>
      <c r="C93" s="27" t="s">
        <v>112</v>
      </c>
      <c r="D93" s="27" t="s">
        <v>22</v>
      </c>
      <c r="E93" s="24">
        <v>2.0</v>
      </c>
    </row>
    <row r="94" ht="15.75" customHeight="1">
      <c r="A94" s="27">
        <v>94.0</v>
      </c>
      <c r="B94" s="27" t="s">
        <v>115</v>
      </c>
      <c r="C94" s="27" t="s">
        <v>112</v>
      </c>
      <c r="D94" s="27" t="s">
        <v>22</v>
      </c>
      <c r="E94" s="24"/>
    </row>
    <row r="95" ht="15.75" customHeight="1">
      <c r="A95" s="27">
        <v>95.0</v>
      </c>
      <c r="B95" s="27" t="s">
        <v>116</v>
      </c>
      <c r="C95" s="27" t="s">
        <v>112</v>
      </c>
      <c r="D95" s="27" t="s">
        <v>22</v>
      </c>
      <c r="E95" s="24">
        <v>1.0</v>
      </c>
    </row>
    <row r="96" ht="15.75" customHeight="1">
      <c r="A96" s="27">
        <v>96.0</v>
      </c>
      <c r="B96" s="27" t="s">
        <v>117</v>
      </c>
      <c r="C96" s="27" t="s">
        <v>112</v>
      </c>
      <c r="D96" s="27" t="s">
        <v>22</v>
      </c>
    </row>
    <row r="97" ht="15.75" customHeight="1">
      <c r="A97" s="27">
        <v>97.0</v>
      </c>
      <c r="B97" s="27" t="s">
        <v>118</v>
      </c>
      <c r="C97" s="27" t="s">
        <v>112</v>
      </c>
      <c r="D97" s="27" t="s">
        <v>22</v>
      </c>
      <c r="E97" s="24">
        <v>1.0</v>
      </c>
    </row>
    <row r="98" ht="15.75" customHeight="1">
      <c r="A98" s="27">
        <v>98.0</v>
      </c>
      <c r="B98" s="27" t="s">
        <v>119</v>
      </c>
      <c r="C98" s="27" t="s">
        <v>112</v>
      </c>
      <c r="D98" s="27" t="s">
        <v>22</v>
      </c>
    </row>
    <row r="99" ht="15.75" customHeight="1">
      <c r="A99" s="27">
        <v>99.0</v>
      </c>
      <c r="B99" s="27" t="s">
        <v>120</v>
      </c>
      <c r="C99" s="27" t="s">
        <v>112</v>
      </c>
      <c r="D99" s="27" t="s">
        <v>22</v>
      </c>
    </row>
    <row r="100" ht="15.75" customHeight="1">
      <c r="A100" s="27">
        <v>100.0</v>
      </c>
      <c r="B100" s="27" t="s">
        <v>121</v>
      </c>
      <c r="C100" s="27" t="s">
        <v>112</v>
      </c>
      <c r="D100" s="27" t="s">
        <v>22</v>
      </c>
      <c r="E100" s="24">
        <v>1.0</v>
      </c>
    </row>
    <row r="101" ht="15.75" customHeight="1">
      <c r="A101" s="27">
        <v>101.0</v>
      </c>
      <c r="B101" s="27" t="s">
        <v>122</v>
      </c>
      <c r="C101" s="27" t="s">
        <v>112</v>
      </c>
      <c r="D101" s="27" t="s">
        <v>22</v>
      </c>
    </row>
    <row r="102" ht="15.75" customHeight="1">
      <c r="A102" s="27">
        <v>102.0</v>
      </c>
      <c r="B102" s="27" t="s">
        <v>123</v>
      </c>
      <c r="C102" s="27" t="s">
        <v>112</v>
      </c>
      <c r="D102" s="27" t="s">
        <v>22</v>
      </c>
      <c r="E102" s="29">
        <v>1.0</v>
      </c>
    </row>
    <row r="103" ht="15.75" customHeight="1">
      <c r="A103" s="27">
        <v>103.0</v>
      </c>
      <c r="B103" s="27" t="s">
        <v>124</v>
      </c>
      <c r="C103" s="27" t="s">
        <v>112</v>
      </c>
      <c r="D103" s="27" t="s">
        <v>22</v>
      </c>
      <c r="E103" s="24">
        <v>2.0</v>
      </c>
    </row>
    <row r="104" ht="15.75" customHeight="1">
      <c r="A104" s="27">
        <v>104.0</v>
      </c>
      <c r="B104" s="27" t="s">
        <v>125</v>
      </c>
      <c r="C104" s="27" t="s">
        <v>112</v>
      </c>
      <c r="D104" s="27" t="s">
        <v>22</v>
      </c>
      <c r="E104" s="28">
        <v>4.0</v>
      </c>
    </row>
    <row r="105" ht="15.75" customHeight="1">
      <c r="A105" s="27">
        <v>105.0</v>
      </c>
      <c r="B105" s="27" t="s">
        <v>126</v>
      </c>
      <c r="C105" s="27" t="s">
        <v>112</v>
      </c>
      <c r="D105" s="27" t="s">
        <v>22</v>
      </c>
      <c r="E105" s="24">
        <v>1.0</v>
      </c>
    </row>
    <row r="106" ht="15.75" customHeight="1">
      <c r="A106" s="27">
        <v>106.0</v>
      </c>
      <c r="B106" s="27" t="s">
        <v>127</v>
      </c>
      <c r="C106" s="27" t="s">
        <v>112</v>
      </c>
      <c r="D106" s="27" t="s">
        <v>22</v>
      </c>
      <c r="E106" s="28">
        <v>1.0</v>
      </c>
    </row>
    <row r="107" ht="15.75" customHeight="1">
      <c r="A107" s="27">
        <v>107.0</v>
      </c>
      <c r="B107" s="27" t="s">
        <v>128</v>
      </c>
      <c r="C107" s="27" t="s">
        <v>112</v>
      </c>
      <c r="D107" s="27" t="s">
        <v>22</v>
      </c>
      <c r="E107" s="24"/>
    </row>
    <row r="108" ht="15.75" customHeight="1">
      <c r="A108" s="27">
        <v>108.0</v>
      </c>
      <c r="B108" s="27" t="s">
        <v>129</v>
      </c>
      <c r="C108" s="27" t="s">
        <v>112</v>
      </c>
      <c r="D108" s="27" t="s">
        <v>22</v>
      </c>
      <c r="E108" s="24">
        <v>2.0</v>
      </c>
    </row>
    <row r="109" ht="15.75" customHeight="1">
      <c r="A109" s="27">
        <v>109.0</v>
      </c>
      <c r="B109" s="27" t="s">
        <v>20</v>
      </c>
      <c r="C109" s="27" t="s">
        <v>130</v>
      </c>
      <c r="D109" s="27" t="s">
        <v>22</v>
      </c>
    </row>
    <row r="110" ht="15.75" customHeight="1">
      <c r="A110" s="27">
        <v>110.0</v>
      </c>
      <c r="B110" s="27" t="s">
        <v>131</v>
      </c>
      <c r="C110" s="27" t="s">
        <v>130</v>
      </c>
      <c r="D110" s="27" t="s">
        <v>22</v>
      </c>
      <c r="E110" s="24">
        <v>2.0</v>
      </c>
    </row>
    <row r="111" ht="15.75" customHeight="1">
      <c r="A111" s="27">
        <v>111.0</v>
      </c>
      <c r="B111" s="27" t="s">
        <v>132</v>
      </c>
      <c r="C111" s="27" t="s">
        <v>130</v>
      </c>
      <c r="D111" s="27" t="s">
        <v>22</v>
      </c>
      <c r="E111" s="24">
        <v>3.0</v>
      </c>
    </row>
    <row r="112" ht="15.75" customHeight="1">
      <c r="A112" s="27">
        <v>112.0</v>
      </c>
      <c r="B112" s="27" t="s">
        <v>133</v>
      </c>
      <c r="C112" s="27" t="s">
        <v>130</v>
      </c>
      <c r="D112" s="27" t="s">
        <v>22</v>
      </c>
      <c r="E112" s="24">
        <v>1.0</v>
      </c>
    </row>
    <row r="113" ht="15.75" customHeight="1">
      <c r="A113" s="27">
        <v>113.0</v>
      </c>
      <c r="B113" s="27" t="s">
        <v>134</v>
      </c>
      <c r="C113" s="27" t="s">
        <v>130</v>
      </c>
      <c r="D113" s="27" t="s">
        <v>22</v>
      </c>
    </row>
    <row r="114" ht="15.75" customHeight="1">
      <c r="A114" s="27">
        <v>114.0</v>
      </c>
      <c r="B114" s="27" t="s">
        <v>135</v>
      </c>
      <c r="C114" s="27" t="s">
        <v>130</v>
      </c>
      <c r="D114" s="27" t="s">
        <v>22</v>
      </c>
    </row>
    <row r="115" ht="15.75" customHeight="1">
      <c r="A115" s="27">
        <v>115.0</v>
      </c>
      <c r="B115" s="27" t="s">
        <v>136</v>
      </c>
      <c r="C115" s="27" t="s">
        <v>130</v>
      </c>
      <c r="D115" s="27" t="s">
        <v>22</v>
      </c>
      <c r="E115" s="24">
        <v>1.0</v>
      </c>
    </row>
    <row r="116" ht="15.75" customHeight="1">
      <c r="A116" s="27">
        <v>116.0</v>
      </c>
      <c r="B116" s="27" t="s">
        <v>137</v>
      </c>
      <c r="C116" s="27" t="s">
        <v>130</v>
      </c>
      <c r="D116" s="27" t="s">
        <v>22</v>
      </c>
      <c r="E116" s="29">
        <v>1.0</v>
      </c>
    </row>
    <row r="117" ht="15.75" customHeight="1">
      <c r="A117" s="27">
        <v>117.0</v>
      </c>
      <c r="B117" s="27" t="s">
        <v>138</v>
      </c>
      <c r="C117" s="27" t="s">
        <v>130</v>
      </c>
      <c r="D117" s="27" t="s">
        <v>22</v>
      </c>
    </row>
    <row r="118" ht="15.75" customHeight="1">
      <c r="A118" s="27">
        <v>118.0</v>
      </c>
      <c r="B118" s="27" t="s">
        <v>139</v>
      </c>
      <c r="C118" s="27" t="s">
        <v>130</v>
      </c>
      <c r="D118" s="27" t="s">
        <v>22</v>
      </c>
    </row>
    <row r="119" ht="15.75" customHeight="1">
      <c r="A119" s="27">
        <v>119.0</v>
      </c>
      <c r="B119" s="27" t="s">
        <v>140</v>
      </c>
      <c r="C119" s="27" t="s">
        <v>130</v>
      </c>
      <c r="D119" s="27"/>
    </row>
    <row r="120" ht="15.75" customHeight="1">
      <c r="A120" s="27">
        <v>120.0</v>
      </c>
      <c r="B120" s="27" t="s">
        <v>141</v>
      </c>
      <c r="C120" s="27" t="s">
        <v>130</v>
      </c>
      <c r="D120" s="27" t="s">
        <v>22</v>
      </c>
    </row>
    <row r="121" ht="15.75" customHeight="1">
      <c r="A121" s="27">
        <v>121.0</v>
      </c>
      <c r="B121" s="27" t="s">
        <v>142</v>
      </c>
      <c r="C121" s="27" t="s">
        <v>130</v>
      </c>
      <c r="D121" s="27" t="s">
        <v>22</v>
      </c>
      <c r="E121" s="24">
        <v>2.0</v>
      </c>
    </row>
    <row r="122" ht="15.75" customHeight="1">
      <c r="A122" s="27">
        <v>122.0</v>
      </c>
      <c r="B122" s="27" t="s">
        <v>143</v>
      </c>
      <c r="C122" s="27" t="s">
        <v>130</v>
      </c>
      <c r="D122" s="27" t="s">
        <v>22</v>
      </c>
    </row>
    <row r="123" ht="15.75" customHeight="1">
      <c r="A123" s="27">
        <v>123.0</v>
      </c>
      <c r="B123" s="27" t="s">
        <v>144</v>
      </c>
      <c r="C123" s="27" t="s">
        <v>130</v>
      </c>
      <c r="D123" s="27" t="s">
        <v>22</v>
      </c>
    </row>
    <row r="124" ht="15.75" customHeight="1">
      <c r="A124" s="27">
        <v>124.0</v>
      </c>
      <c r="B124" s="27" t="s">
        <v>145</v>
      </c>
      <c r="C124" s="27" t="s">
        <v>130</v>
      </c>
      <c r="D124" s="27" t="s">
        <v>22</v>
      </c>
      <c r="E124" s="24">
        <v>1.0</v>
      </c>
    </row>
    <row r="125" ht="15.75" customHeight="1">
      <c r="A125" s="27">
        <v>125.0</v>
      </c>
      <c r="B125" s="27" t="s">
        <v>146</v>
      </c>
      <c r="C125" s="27" t="s">
        <v>130</v>
      </c>
      <c r="D125" s="27" t="s">
        <v>22</v>
      </c>
      <c r="E125" s="29">
        <v>1.0</v>
      </c>
    </row>
    <row r="126" ht="15.75" customHeight="1">
      <c r="A126" s="27">
        <v>126.0</v>
      </c>
      <c r="B126" s="27" t="s">
        <v>147</v>
      </c>
      <c r="C126" s="27" t="s">
        <v>130</v>
      </c>
      <c r="D126" s="27" t="s">
        <v>22</v>
      </c>
      <c r="E126" s="24">
        <v>1.0</v>
      </c>
    </row>
    <row r="127" ht="15.75" customHeight="1">
      <c r="A127" s="27">
        <v>127.0</v>
      </c>
      <c r="B127" s="27" t="s">
        <v>20</v>
      </c>
      <c r="C127" s="27" t="s">
        <v>148</v>
      </c>
      <c r="D127" s="27" t="s">
        <v>22</v>
      </c>
      <c r="E127" s="24">
        <v>1.0</v>
      </c>
    </row>
    <row r="128" ht="15.75" customHeight="1">
      <c r="A128" s="27">
        <v>128.0</v>
      </c>
      <c r="B128" s="27" t="s">
        <v>149</v>
      </c>
      <c r="C128" s="27" t="s">
        <v>148</v>
      </c>
      <c r="D128" s="27" t="s">
        <v>22</v>
      </c>
      <c r="E128" s="24">
        <v>1.0</v>
      </c>
    </row>
    <row r="129" ht="15.75" customHeight="1">
      <c r="A129" s="27">
        <v>129.0</v>
      </c>
      <c r="B129" s="27" t="s">
        <v>150</v>
      </c>
      <c r="C129" s="27" t="s">
        <v>148</v>
      </c>
      <c r="D129" s="27" t="s">
        <v>22</v>
      </c>
    </row>
    <row r="130" ht="15.75" customHeight="1">
      <c r="A130" s="27">
        <v>130.0</v>
      </c>
      <c r="B130" s="27" t="s">
        <v>151</v>
      </c>
      <c r="C130" s="27" t="s">
        <v>148</v>
      </c>
      <c r="D130" s="27" t="s">
        <v>22</v>
      </c>
    </row>
    <row r="131" ht="15.75" customHeight="1">
      <c r="A131" s="27">
        <v>131.0</v>
      </c>
      <c r="B131" s="27" t="s">
        <v>152</v>
      </c>
      <c r="C131" s="27" t="s">
        <v>148</v>
      </c>
      <c r="D131" s="27" t="s">
        <v>22</v>
      </c>
    </row>
    <row r="132" ht="15.75" customHeight="1">
      <c r="A132" s="27">
        <v>132.0</v>
      </c>
      <c r="B132" s="27" t="s">
        <v>153</v>
      </c>
      <c r="C132" s="27" t="s">
        <v>148</v>
      </c>
      <c r="D132" s="27" t="s">
        <v>22</v>
      </c>
    </row>
    <row r="133" ht="15.75" customHeight="1">
      <c r="A133" s="27">
        <v>133.0</v>
      </c>
      <c r="B133" s="27" t="s">
        <v>154</v>
      </c>
      <c r="C133" s="27" t="s">
        <v>148</v>
      </c>
      <c r="D133" s="27"/>
    </row>
    <row r="134" ht="15.75" customHeight="1">
      <c r="A134" s="27">
        <v>134.0</v>
      </c>
      <c r="B134" s="27" t="s">
        <v>155</v>
      </c>
      <c r="C134" s="27" t="s">
        <v>148</v>
      </c>
      <c r="D134" s="27" t="s">
        <v>22</v>
      </c>
      <c r="E134" s="24">
        <v>1.0</v>
      </c>
    </row>
    <row r="135" ht="15.75" customHeight="1">
      <c r="A135" s="27">
        <v>135.0</v>
      </c>
      <c r="B135" s="27" t="s">
        <v>156</v>
      </c>
      <c r="C135" s="27" t="s">
        <v>148</v>
      </c>
      <c r="D135" s="27" t="s">
        <v>22</v>
      </c>
    </row>
    <row r="136" ht="15.75" customHeight="1">
      <c r="A136" s="27">
        <v>136.0</v>
      </c>
      <c r="B136" s="27" t="s">
        <v>157</v>
      </c>
      <c r="C136" s="27" t="s">
        <v>148</v>
      </c>
      <c r="D136" s="27" t="s">
        <v>22</v>
      </c>
    </row>
    <row r="137" ht="15.75" customHeight="1">
      <c r="A137" s="27">
        <v>137.0</v>
      </c>
      <c r="B137" s="27" t="s">
        <v>158</v>
      </c>
      <c r="C137" s="27" t="s">
        <v>148</v>
      </c>
      <c r="D137" s="27" t="s">
        <v>22</v>
      </c>
      <c r="E137" s="24">
        <v>1.0</v>
      </c>
    </row>
    <row r="138" ht="15.75" customHeight="1">
      <c r="A138" s="27">
        <v>138.0</v>
      </c>
      <c r="B138" s="27" t="s">
        <v>159</v>
      </c>
      <c r="C138" s="27" t="s">
        <v>148</v>
      </c>
      <c r="D138" s="27" t="s">
        <v>22</v>
      </c>
      <c r="E138" s="24">
        <v>2.0</v>
      </c>
    </row>
    <row r="139" ht="15.75" customHeight="1">
      <c r="A139" s="27">
        <v>139.0</v>
      </c>
      <c r="B139" s="27" t="s">
        <v>160</v>
      </c>
      <c r="C139" s="27" t="s">
        <v>148</v>
      </c>
      <c r="D139" s="27" t="s">
        <v>22</v>
      </c>
      <c r="E139" s="24">
        <v>2.0</v>
      </c>
    </row>
    <row r="140" ht="15.75" customHeight="1">
      <c r="A140" s="27">
        <v>140.0</v>
      </c>
      <c r="B140" s="27" t="s">
        <v>161</v>
      </c>
      <c r="C140" s="27" t="s">
        <v>148</v>
      </c>
      <c r="D140" s="27" t="s">
        <v>22</v>
      </c>
      <c r="E140" s="24">
        <v>2.0</v>
      </c>
    </row>
    <row r="141" ht="15.75" customHeight="1">
      <c r="A141" s="27">
        <v>141.0</v>
      </c>
      <c r="B141" s="27" t="s">
        <v>162</v>
      </c>
      <c r="C141" s="27" t="s">
        <v>148</v>
      </c>
      <c r="D141" s="27" t="s">
        <v>22</v>
      </c>
      <c r="E141" s="24">
        <v>2.0</v>
      </c>
    </row>
    <row r="142" ht="15.75" customHeight="1">
      <c r="A142" s="27">
        <v>142.0</v>
      </c>
      <c r="B142" s="27" t="s">
        <v>163</v>
      </c>
      <c r="C142" s="27" t="s">
        <v>148</v>
      </c>
      <c r="D142" s="27" t="s">
        <v>22</v>
      </c>
    </row>
    <row r="143" ht="15.75" customHeight="1">
      <c r="A143" s="27">
        <v>143.0</v>
      </c>
      <c r="B143" s="27" t="s">
        <v>164</v>
      </c>
      <c r="C143" s="27" t="s">
        <v>148</v>
      </c>
      <c r="D143" s="27" t="s">
        <v>22</v>
      </c>
    </row>
    <row r="144" ht="15.75" customHeight="1">
      <c r="A144" s="27">
        <v>144.0</v>
      </c>
      <c r="B144" s="27" t="s">
        <v>165</v>
      </c>
      <c r="C144" s="27" t="s">
        <v>148</v>
      </c>
      <c r="D144" s="27" t="s">
        <v>22</v>
      </c>
      <c r="E144" s="24">
        <v>2.0</v>
      </c>
    </row>
    <row r="145" ht="15.75" customHeight="1">
      <c r="A145" s="27">
        <v>145.0</v>
      </c>
      <c r="B145" s="27" t="s">
        <v>20</v>
      </c>
      <c r="C145" s="27" t="s">
        <v>166</v>
      </c>
      <c r="D145" s="27" t="s">
        <v>22</v>
      </c>
      <c r="E145" s="28">
        <v>1.0</v>
      </c>
      <c r="F145" s="24"/>
    </row>
    <row r="146" ht="15.75" customHeight="1">
      <c r="A146" s="27">
        <v>146.0</v>
      </c>
      <c r="B146" s="27" t="s">
        <v>167</v>
      </c>
      <c r="C146" s="27" t="s">
        <v>166</v>
      </c>
      <c r="D146" s="27" t="s">
        <v>22</v>
      </c>
      <c r="E146" s="24">
        <v>2.0</v>
      </c>
    </row>
    <row r="147" ht="15.75" customHeight="1">
      <c r="A147" s="27">
        <v>147.0</v>
      </c>
      <c r="B147" s="27" t="s">
        <v>168</v>
      </c>
      <c r="C147" s="27" t="s">
        <v>166</v>
      </c>
      <c r="D147" s="27" t="s">
        <v>22</v>
      </c>
    </row>
    <row r="148" ht="15.75" customHeight="1">
      <c r="A148" s="27">
        <v>148.0</v>
      </c>
      <c r="B148" s="27" t="s">
        <v>169</v>
      </c>
      <c r="C148" s="27" t="s">
        <v>166</v>
      </c>
      <c r="D148" s="27" t="s">
        <v>22</v>
      </c>
      <c r="E148" s="29">
        <v>1.0</v>
      </c>
      <c r="F148" s="24"/>
    </row>
    <row r="149" ht="15.75" customHeight="1">
      <c r="A149" s="27">
        <v>149.0</v>
      </c>
      <c r="B149" s="27" t="s">
        <v>170</v>
      </c>
      <c r="C149" s="27" t="s">
        <v>166</v>
      </c>
      <c r="D149" s="27" t="s">
        <v>22</v>
      </c>
    </row>
    <row r="150" ht="15.75" customHeight="1">
      <c r="A150" s="27">
        <v>150.0</v>
      </c>
      <c r="B150" s="27" t="s">
        <v>171</v>
      </c>
      <c r="C150" s="27" t="s">
        <v>166</v>
      </c>
      <c r="D150" s="27" t="s">
        <v>22</v>
      </c>
    </row>
    <row r="151" ht="15.75" customHeight="1">
      <c r="A151" s="27">
        <v>151.0</v>
      </c>
      <c r="B151" s="27" t="s">
        <v>172</v>
      </c>
      <c r="C151" s="27" t="s">
        <v>166</v>
      </c>
      <c r="D151" s="27" t="s">
        <v>22</v>
      </c>
    </row>
    <row r="152" ht="15.75" customHeight="1">
      <c r="A152" s="27">
        <v>152.0</v>
      </c>
      <c r="B152" s="27" t="s">
        <v>173</v>
      </c>
      <c r="C152" s="27" t="s">
        <v>166</v>
      </c>
      <c r="D152" s="27" t="s">
        <v>22</v>
      </c>
      <c r="E152" s="24">
        <v>1.0</v>
      </c>
    </row>
    <row r="153" ht="15.75" customHeight="1">
      <c r="A153" s="27">
        <v>153.0</v>
      </c>
      <c r="B153" s="27" t="s">
        <v>174</v>
      </c>
      <c r="C153" s="27" t="s">
        <v>166</v>
      </c>
      <c r="D153" s="27" t="s">
        <v>22</v>
      </c>
      <c r="E153" s="24">
        <v>1.0</v>
      </c>
    </row>
    <row r="154" ht="15.75" customHeight="1">
      <c r="A154" s="27">
        <v>154.0</v>
      </c>
      <c r="B154" s="27" t="s">
        <v>175</v>
      </c>
      <c r="C154" s="27" t="s">
        <v>166</v>
      </c>
      <c r="D154" s="27" t="s">
        <v>22</v>
      </c>
      <c r="E154" s="24">
        <v>1.0</v>
      </c>
    </row>
    <row r="155" ht="15.75" customHeight="1">
      <c r="A155" s="27">
        <v>155.0</v>
      </c>
      <c r="B155" s="27" t="s">
        <v>176</v>
      </c>
      <c r="C155" s="27" t="s">
        <v>166</v>
      </c>
      <c r="D155" s="27" t="s">
        <v>22</v>
      </c>
    </row>
    <row r="156" ht="15.75" customHeight="1">
      <c r="A156" s="27">
        <v>156.0</v>
      </c>
      <c r="B156" s="27" t="s">
        <v>177</v>
      </c>
      <c r="C156" s="27" t="s">
        <v>166</v>
      </c>
      <c r="D156" s="27" t="s">
        <v>22</v>
      </c>
    </row>
    <row r="157" ht="15.75" customHeight="1">
      <c r="A157" s="27">
        <v>157.0</v>
      </c>
      <c r="B157" s="27" t="s">
        <v>178</v>
      </c>
      <c r="C157" s="27" t="s">
        <v>166</v>
      </c>
      <c r="D157" s="27" t="s">
        <v>22</v>
      </c>
    </row>
    <row r="158" ht="15.75" customHeight="1">
      <c r="A158" s="27">
        <v>158.0</v>
      </c>
      <c r="B158" s="27" t="s">
        <v>179</v>
      </c>
      <c r="C158" s="27" t="s">
        <v>166</v>
      </c>
      <c r="D158" s="27" t="s">
        <v>22</v>
      </c>
    </row>
    <row r="159" ht="15.75" customHeight="1">
      <c r="A159" s="27">
        <v>159.0</v>
      </c>
      <c r="B159" s="27" t="s">
        <v>180</v>
      </c>
      <c r="C159" s="27" t="s">
        <v>166</v>
      </c>
      <c r="D159" s="27" t="s">
        <v>22</v>
      </c>
      <c r="E159" s="29">
        <v>1.0</v>
      </c>
    </row>
    <row r="160" ht="15.75" customHeight="1">
      <c r="A160" s="27">
        <v>160.0</v>
      </c>
      <c r="B160" s="27" t="s">
        <v>181</v>
      </c>
      <c r="C160" s="27" t="s">
        <v>166</v>
      </c>
      <c r="D160" s="27" t="s">
        <v>22</v>
      </c>
    </row>
    <row r="161" ht="15.75" customHeight="1">
      <c r="A161" s="27">
        <v>161.0</v>
      </c>
      <c r="B161" s="27" t="s">
        <v>182</v>
      </c>
      <c r="C161" s="27" t="s">
        <v>166</v>
      </c>
      <c r="D161" s="27" t="s">
        <v>22</v>
      </c>
    </row>
    <row r="162" ht="15.75" customHeight="1">
      <c r="A162" s="27">
        <v>162.0</v>
      </c>
      <c r="B162" s="27" t="s">
        <v>183</v>
      </c>
      <c r="C162" s="27" t="s">
        <v>166</v>
      </c>
      <c r="D162" s="27" t="s">
        <v>22</v>
      </c>
      <c r="E162" s="29">
        <v>1.0</v>
      </c>
    </row>
    <row r="163" ht="15.75" customHeight="1">
      <c r="A163" s="27">
        <v>163.0</v>
      </c>
      <c r="B163" s="27" t="s">
        <v>20</v>
      </c>
      <c r="C163" s="27" t="s">
        <v>184</v>
      </c>
      <c r="D163" s="27" t="s">
        <v>22</v>
      </c>
      <c r="E163" s="24">
        <v>2.0</v>
      </c>
    </row>
    <row r="164" ht="15.75" customHeight="1">
      <c r="A164" s="27">
        <v>164.0</v>
      </c>
      <c r="B164" s="27" t="s">
        <v>185</v>
      </c>
      <c r="C164" s="27" t="s">
        <v>184</v>
      </c>
      <c r="D164" s="27" t="s">
        <v>22</v>
      </c>
      <c r="E164" s="24">
        <v>2.0</v>
      </c>
    </row>
    <row r="165" ht="15.75" customHeight="1">
      <c r="A165" s="27">
        <v>165.0</v>
      </c>
      <c r="B165" s="27" t="s">
        <v>186</v>
      </c>
      <c r="C165" s="27" t="s">
        <v>184</v>
      </c>
      <c r="D165" s="27" t="s">
        <v>22</v>
      </c>
    </row>
    <row r="166" ht="15.75" customHeight="1">
      <c r="A166" s="27">
        <v>166.0</v>
      </c>
      <c r="B166" s="27" t="s">
        <v>187</v>
      </c>
      <c r="C166" s="27" t="s">
        <v>184</v>
      </c>
      <c r="D166" s="27" t="s">
        <v>22</v>
      </c>
      <c r="E166" s="29">
        <v>1.0</v>
      </c>
    </row>
    <row r="167" ht="15.75" customHeight="1">
      <c r="A167" s="27">
        <v>167.0</v>
      </c>
      <c r="B167" s="27" t="s">
        <v>188</v>
      </c>
      <c r="C167" s="27" t="s">
        <v>184</v>
      </c>
      <c r="D167" s="27" t="s">
        <v>22</v>
      </c>
    </row>
    <row r="168" ht="15.75" customHeight="1">
      <c r="A168" s="27">
        <v>168.0</v>
      </c>
      <c r="B168" s="27" t="s">
        <v>189</v>
      </c>
      <c r="C168" s="27" t="s">
        <v>184</v>
      </c>
      <c r="D168" s="27" t="s">
        <v>22</v>
      </c>
      <c r="E168" s="29">
        <v>1.0</v>
      </c>
    </row>
    <row r="169" ht="15.75" customHeight="1">
      <c r="A169" s="27">
        <v>169.0</v>
      </c>
      <c r="B169" s="27" t="s">
        <v>190</v>
      </c>
      <c r="C169" s="27" t="s">
        <v>184</v>
      </c>
      <c r="D169" s="27" t="s">
        <v>22</v>
      </c>
    </row>
    <row r="170" ht="15.75" customHeight="1">
      <c r="A170" s="27">
        <v>170.0</v>
      </c>
      <c r="B170" s="27" t="s">
        <v>191</v>
      </c>
      <c r="C170" s="27" t="s">
        <v>184</v>
      </c>
      <c r="D170" s="27" t="s">
        <v>22</v>
      </c>
    </row>
    <row r="171" ht="15.75" customHeight="1">
      <c r="A171" s="27">
        <v>171.0</v>
      </c>
      <c r="B171" s="27" t="s">
        <v>192</v>
      </c>
      <c r="C171" s="27" t="s">
        <v>184</v>
      </c>
      <c r="D171" s="27" t="s">
        <v>22</v>
      </c>
    </row>
    <row r="172" ht="15.75" customHeight="1">
      <c r="A172" s="27">
        <v>172.0</v>
      </c>
      <c r="B172" s="27" t="s">
        <v>193</v>
      </c>
      <c r="C172" s="27" t="s">
        <v>184</v>
      </c>
      <c r="D172" s="27" t="s">
        <v>22</v>
      </c>
      <c r="E172" s="24">
        <v>2.0</v>
      </c>
    </row>
    <row r="173" ht="15.75" customHeight="1">
      <c r="A173" s="27">
        <v>173.0</v>
      </c>
      <c r="B173" s="27" t="s">
        <v>194</v>
      </c>
      <c r="C173" s="27" t="s">
        <v>184</v>
      </c>
      <c r="D173" s="27" t="s">
        <v>22</v>
      </c>
      <c r="E173" s="28">
        <v>1.0</v>
      </c>
    </row>
    <row r="174" ht="15.75" customHeight="1">
      <c r="A174" s="27">
        <v>174.0</v>
      </c>
      <c r="B174" s="27" t="s">
        <v>195</v>
      </c>
      <c r="C174" s="27" t="s">
        <v>184</v>
      </c>
      <c r="D174" s="27" t="s">
        <v>22</v>
      </c>
      <c r="E174" s="24">
        <v>2.0</v>
      </c>
    </row>
    <row r="175" ht="15.75" customHeight="1">
      <c r="A175" s="27">
        <v>175.0</v>
      </c>
      <c r="B175" s="27" t="s">
        <v>196</v>
      </c>
      <c r="C175" s="27" t="s">
        <v>184</v>
      </c>
      <c r="D175" s="27" t="s">
        <v>22</v>
      </c>
      <c r="E175" s="24">
        <v>3.0</v>
      </c>
    </row>
    <row r="176" ht="15.75" customHeight="1">
      <c r="A176" s="27">
        <v>176.0</v>
      </c>
      <c r="B176" s="27" t="s">
        <v>197</v>
      </c>
      <c r="C176" s="27" t="s">
        <v>184</v>
      </c>
      <c r="D176" s="27" t="s">
        <v>22</v>
      </c>
      <c r="E176" s="24">
        <v>1.0</v>
      </c>
    </row>
    <row r="177" ht="15.75" customHeight="1">
      <c r="A177" s="27">
        <v>177.0</v>
      </c>
      <c r="B177" s="27" t="s">
        <v>198</v>
      </c>
      <c r="C177" s="27" t="s">
        <v>184</v>
      </c>
      <c r="D177" s="27" t="s">
        <v>22</v>
      </c>
    </row>
    <row r="178" ht="15.75" customHeight="1">
      <c r="A178" s="27">
        <v>178.0</v>
      </c>
      <c r="B178" s="27" t="s">
        <v>199</v>
      </c>
      <c r="C178" s="27" t="s">
        <v>184</v>
      </c>
      <c r="D178" s="27" t="s">
        <v>22</v>
      </c>
    </row>
    <row r="179" ht="15.75" customHeight="1">
      <c r="A179" s="27">
        <v>179.0</v>
      </c>
      <c r="B179" s="27" t="s">
        <v>200</v>
      </c>
      <c r="C179" s="27" t="s">
        <v>184</v>
      </c>
      <c r="D179" s="27" t="s">
        <v>22</v>
      </c>
      <c r="E179" s="24">
        <v>1.0</v>
      </c>
    </row>
    <row r="180" ht="15.75" customHeight="1">
      <c r="A180" s="27">
        <v>180.0</v>
      </c>
      <c r="B180" s="27" t="s">
        <v>201</v>
      </c>
      <c r="C180" s="27" t="s">
        <v>184</v>
      </c>
      <c r="D180" s="27" t="s">
        <v>22</v>
      </c>
      <c r="E180" s="24">
        <v>2.0</v>
      </c>
    </row>
    <row r="181" ht="15.75" customHeight="1">
      <c r="A181" s="27">
        <v>181.0</v>
      </c>
      <c r="B181" s="27" t="s">
        <v>20</v>
      </c>
      <c r="C181" s="27" t="s">
        <v>202</v>
      </c>
      <c r="D181" s="27" t="s">
        <v>22</v>
      </c>
    </row>
    <row r="182" ht="15.75" customHeight="1">
      <c r="A182" s="27">
        <v>182.0</v>
      </c>
      <c r="B182" s="27" t="s">
        <v>203</v>
      </c>
      <c r="C182" s="27" t="s">
        <v>202</v>
      </c>
      <c r="D182" s="27" t="s">
        <v>22</v>
      </c>
    </row>
    <row r="183" ht="15.75" customHeight="1">
      <c r="A183" s="27">
        <v>183.0</v>
      </c>
      <c r="B183" s="27" t="s">
        <v>204</v>
      </c>
      <c r="C183" s="27" t="s">
        <v>202</v>
      </c>
      <c r="D183" s="27" t="s">
        <v>22</v>
      </c>
    </row>
    <row r="184" ht="15.75" customHeight="1">
      <c r="A184" s="27">
        <v>184.0</v>
      </c>
      <c r="B184" s="27" t="s">
        <v>205</v>
      </c>
      <c r="C184" s="27" t="s">
        <v>202</v>
      </c>
      <c r="D184" s="27" t="s">
        <v>22</v>
      </c>
      <c r="E184" s="24">
        <v>1.0</v>
      </c>
    </row>
    <row r="185" ht="15.75" customHeight="1">
      <c r="A185" s="27">
        <v>185.0</v>
      </c>
      <c r="B185" s="27" t="s">
        <v>206</v>
      </c>
      <c r="C185" s="27" t="s">
        <v>202</v>
      </c>
      <c r="D185" s="27" t="s">
        <v>22</v>
      </c>
      <c r="E185" s="24">
        <v>1.0</v>
      </c>
    </row>
    <row r="186" ht="15.75" customHeight="1">
      <c r="A186" s="27">
        <v>186.0</v>
      </c>
      <c r="B186" s="27" t="s">
        <v>207</v>
      </c>
      <c r="C186" s="27" t="s">
        <v>202</v>
      </c>
      <c r="D186" s="27" t="s">
        <v>22</v>
      </c>
      <c r="E186" s="24">
        <v>1.0</v>
      </c>
    </row>
    <row r="187" ht="15.75" customHeight="1">
      <c r="A187" s="27">
        <v>187.0</v>
      </c>
      <c r="B187" s="27" t="s">
        <v>208</v>
      </c>
      <c r="C187" s="27" t="s">
        <v>202</v>
      </c>
      <c r="D187" s="27" t="s">
        <v>22</v>
      </c>
      <c r="E187" s="24">
        <v>1.0</v>
      </c>
    </row>
    <row r="188" ht="15.75" customHeight="1">
      <c r="A188" s="27">
        <v>188.0</v>
      </c>
      <c r="B188" s="27" t="s">
        <v>209</v>
      </c>
      <c r="C188" s="27" t="s">
        <v>202</v>
      </c>
      <c r="D188" s="27" t="s">
        <v>22</v>
      </c>
    </row>
    <row r="189" ht="15.75" customHeight="1">
      <c r="A189" s="27">
        <v>189.0</v>
      </c>
      <c r="B189" s="27" t="s">
        <v>210</v>
      </c>
      <c r="C189" s="27" t="s">
        <v>202</v>
      </c>
      <c r="D189" s="27" t="s">
        <v>22</v>
      </c>
      <c r="E189" s="24">
        <v>1.0</v>
      </c>
    </row>
    <row r="190" ht="15.75" customHeight="1">
      <c r="A190" s="27">
        <v>190.0</v>
      </c>
      <c r="B190" s="27" t="s">
        <v>211</v>
      </c>
      <c r="C190" s="27" t="s">
        <v>202</v>
      </c>
      <c r="D190" s="27" t="s">
        <v>22</v>
      </c>
      <c r="E190" s="24">
        <v>1.0</v>
      </c>
    </row>
    <row r="191" ht="15.75" customHeight="1">
      <c r="A191" s="27">
        <v>191.0</v>
      </c>
      <c r="B191" s="27" t="s">
        <v>212</v>
      </c>
      <c r="C191" s="27" t="s">
        <v>202</v>
      </c>
      <c r="D191" s="27" t="s">
        <v>22</v>
      </c>
      <c r="E191" s="29">
        <v>1.0</v>
      </c>
    </row>
    <row r="192" ht="15.75" customHeight="1">
      <c r="A192" s="27">
        <v>192.0</v>
      </c>
      <c r="B192" s="27" t="s">
        <v>213</v>
      </c>
      <c r="C192" s="27" t="s">
        <v>202</v>
      </c>
      <c r="D192" s="27" t="s">
        <v>22</v>
      </c>
      <c r="E192" s="24">
        <v>1.0</v>
      </c>
    </row>
    <row r="193" ht="15.75" customHeight="1">
      <c r="A193" s="27">
        <v>193.0</v>
      </c>
      <c r="B193" s="27" t="s">
        <v>214</v>
      </c>
      <c r="C193" s="27" t="s">
        <v>202</v>
      </c>
      <c r="D193" s="27" t="s">
        <v>22</v>
      </c>
    </row>
    <row r="194" ht="15.75" customHeight="1">
      <c r="A194" s="27">
        <v>194.0</v>
      </c>
      <c r="B194" s="27" t="s">
        <v>215</v>
      </c>
      <c r="C194" s="27" t="s">
        <v>202</v>
      </c>
      <c r="D194" s="27" t="s">
        <v>22</v>
      </c>
    </row>
    <row r="195" ht="15.75" customHeight="1">
      <c r="A195" s="27">
        <v>195.0</v>
      </c>
      <c r="B195" s="27" t="s">
        <v>216</v>
      </c>
      <c r="C195" s="27" t="s">
        <v>202</v>
      </c>
      <c r="D195" s="27" t="s">
        <v>22</v>
      </c>
      <c r="E195" s="24">
        <v>2.0</v>
      </c>
    </row>
    <row r="196" ht="15.75" customHeight="1">
      <c r="A196" s="27">
        <v>196.0</v>
      </c>
      <c r="B196" s="27" t="s">
        <v>217</v>
      </c>
      <c r="C196" s="27" t="s">
        <v>202</v>
      </c>
      <c r="D196" s="27"/>
    </row>
    <row r="197" ht="15.75" customHeight="1">
      <c r="A197" s="27">
        <v>197.0</v>
      </c>
      <c r="B197" s="27" t="s">
        <v>218</v>
      </c>
      <c r="C197" s="27" t="s">
        <v>202</v>
      </c>
      <c r="D197" s="27" t="s">
        <v>22</v>
      </c>
      <c r="E197" s="29">
        <v>1.0</v>
      </c>
    </row>
    <row r="198" ht="15.75" customHeight="1">
      <c r="A198" s="27">
        <v>198.0</v>
      </c>
      <c r="B198" s="27" t="s">
        <v>219</v>
      </c>
      <c r="C198" s="27" t="s">
        <v>202</v>
      </c>
      <c r="D198" s="27" t="s">
        <v>22</v>
      </c>
    </row>
    <row r="199" ht="15.75" customHeight="1">
      <c r="A199" s="27">
        <v>199.0</v>
      </c>
      <c r="B199" s="27" t="s">
        <v>20</v>
      </c>
      <c r="C199" s="27" t="s">
        <v>220</v>
      </c>
      <c r="D199" s="27" t="s">
        <v>22</v>
      </c>
    </row>
    <row r="200" ht="15.75" customHeight="1">
      <c r="A200" s="27">
        <v>200.0</v>
      </c>
      <c r="B200" s="27" t="s">
        <v>221</v>
      </c>
      <c r="C200" s="27" t="s">
        <v>220</v>
      </c>
      <c r="D200" s="27" t="s">
        <v>22</v>
      </c>
    </row>
    <row r="201" ht="15.75" customHeight="1">
      <c r="A201" s="27">
        <v>201.0</v>
      </c>
      <c r="B201" s="27" t="s">
        <v>222</v>
      </c>
      <c r="C201" s="27" t="s">
        <v>220</v>
      </c>
      <c r="D201" s="27" t="s">
        <v>22</v>
      </c>
    </row>
    <row r="202" ht="15.75" customHeight="1">
      <c r="A202" s="27">
        <v>202.0</v>
      </c>
      <c r="B202" s="27" t="s">
        <v>223</v>
      </c>
      <c r="C202" s="27" t="s">
        <v>220</v>
      </c>
      <c r="D202" s="27" t="s">
        <v>22</v>
      </c>
      <c r="E202" s="24">
        <v>1.0</v>
      </c>
    </row>
    <row r="203" ht="15.75" customHeight="1">
      <c r="A203" s="27">
        <v>203.0</v>
      </c>
      <c r="B203" s="27" t="s">
        <v>224</v>
      </c>
      <c r="C203" s="27" t="s">
        <v>220</v>
      </c>
      <c r="D203" s="27" t="s">
        <v>22</v>
      </c>
      <c r="E203" s="24">
        <v>2.0</v>
      </c>
    </row>
    <row r="204" ht="15.75" customHeight="1">
      <c r="A204" s="27">
        <v>204.0</v>
      </c>
      <c r="B204" s="27" t="s">
        <v>225</v>
      </c>
      <c r="C204" s="27" t="s">
        <v>220</v>
      </c>
      <c r="D204" s="27" t="s">
        <v>22</v>
      </c>
    </row>
    <row r="205" ht="15.75" customHeight="1">
      <c r="A205" s="27">
        <v>205.0</v>
      </c>
      <c r="B205" s="27" t="s">
        <v>226</v>
      </c>
      <c r="C205" s="27" t="s">
        <v>220</v>
      </c>
      <c r="D205" s="27" t="s">
        <v>22</v>
      </c>
      <c r="E205" s="29">
        <v>1.0</v>
      </c>
    </row>
    <row r="206" ht="15.75" customHeight="1">
      <c r="A206" s="27">
        <v>206.0</v>
      </c>
      <c r="B206" s="27" t="s">
        <v>227</v>
      </c>
      <c r="C206" s="27" t="s">
        <v>220</v>
      </c>
      <c r="D206" s="27" t="s">
        <v>22</v>
      </c>
      <c r="E206" s="24">
        <v>1.0</v>
      </c>
    </row>
    <row r="207" ht="15.75" customHeight="1">
      <c r="A207" s="27">
        <v>207.0</v>
      </c>
      <c r="B207" s="27" t="s">
        <v>228</v>
      </c>
      <c r="C207" s="27" t="s">
        <v>220</v>
      </c>
      <c r="D207" s="27" t="s">
        <v>22</v>
      </c>
    </row>
    <row r="208" ht="15.75" customHeight="1">
      <c r="A208" s="27">
        <v>208.0</v>
      </c>
      <c r="B208" s="27" t="s">
        <v>229</v>
      </c>
      <c r="C208" s="27" t="s">
        <v>220</v>
      </c>
      <c r="D208" s="27" t="s">
        <v>22</v>
      </c>
      <c r="E208" s="24">
        <v>1.0</v>
      </c>
    </row>
    <row r="209" ht="15.75" customHeight="1">
      <c r="A209" s="27">
        <v>209.0</v>
      </c>
      <c r="B209" s="27" t="s">
        <v>230</v>
      </c>
      <c r="C209" s="27" t="s">
        <v>220</v>
      </c>
      <c r="D209" s="27" t="s">
        <v>22</v>
      </c>
      <c r="E209" s="24">
        <v>1.0</v>
      </c>
    </row>
    <row r="210" ht="15.75" customHeight="1">
      <c r="A210" s="27">
        <v>210.0</v>
      </c>
      <c r="B210" s="27" t="s">
        <v>231</v>
      </c>
      <c r="C210" s="27" t="s">
        <v>220</v>
      </c>
      <c r="D210" s="27" t="s">
        <v>22</v>
      </c>
      <c r="E210" s="24">
        <v>1.0</v>
      </c>
    </row>
    <row r="211" ht="15.75" customHeight="1">
      <c r="A211" s="27">
        <v>211.0</v>
      </c>
      <c r="B211" s="27" t="s">
        <v>232</v>
      </c>
      <c r="C211" s="27" t="s">
        <v>220</v>
      </c>
      <c r="D211" s="27" t="s">
        <v>22</v>
      </c>
      <c r="E211" s="24">
        <v>1.0</v>
      </c>
    </row>
    <row r="212" ht="15.75" customHeight="1">
      <c r="A212" s="27">
        <v>212.0</v>
      </c>
      <c r="B212" s="27" t="s">
        <v>233</v>
      </c>
      <c r="C212" s="27" t="s">
        <v>220</v>
      </c>
      <c r="D212" s="27" t="s">
        <v>22</v>
      </c>
      <c r="E212" s="28">
        <v>2.0</v>
      </c>
    </row>
    <row r="213" ht="15.75" customHeight="1">
      <c r="A213" s="27">
        <v>213.0</v>
      </c>
      <c r="B213" s="27" t="s">
        <v>234</v>
      </c>
      <c r="C213" s="27" t="s">
        <v>220</v>
      </c>
      <c r="D213" s="27" t="s">
        <v>22</v>
      </c>
      <c r="E213" s="24">
        <v>1.0</v>
      </c>
    </row>
    <row r="214" ht="15.75" customHeight="1">
      <c r="A214" s="27">
        <v>214.0</v>
      </c>
      <c r="B214" s="27" t="s">
        <v>235</v>
      </c>
      <c r="C214" s="27" t="s">
        <v>220</v>
      </c>
      <c r="D214" s="27" t="s">
        <v>22</v>
      </c>
      <c r="E214" s="24">
        <v>1.0</v>
      </c>
    </row>
    <row r="215" ht="15.75" customHeight="1">
      <c r="A215" s="27">
        <v>215.0</v>
      </c>
      <c r="B215" s="27" t="s">
        <v>236</v>
      </c>
      <c r="C215" s="27" t="s">
        <v>220</v>
      </c>
      <c r="D215" s="27" t="s">
        <v>22</v>
      </c>
      <c r="E215" s="24">
        <v>1.0</v>
      </c>
    </row>
    <row r="216" ht="15.75" customHeight="1">
      <c r="A216" s="27">
        <v>216.0</v>
      </c>
      <c r="B216" s="27" t="s">
        <v>237</v>
      </c>
      <c r="C216" s="27" t="s">
        <v>220</v>
      </c>
      <c r="D216" s="27" t="s">
        <v>22</v>
      </c>
      <c r="E216" s="28">
        <v>2.0</v>
      </c>
    </row>
    <row r="217" ht="15.75" customHeight="1">
      <c r="A217" s="27">
        <v>217.0</v>
      </c>
      <c r="B217" s="27" t="s">
        <v>20</v>
      </c>
      <c r="C217" s="27" t="s">
        <v>238</v>
      </c>
      <c r="D217" s="27" t="s">
        <v>22</v>
      </c>
      <c r="E217" s="24">
        <v>1.0</v>
      </c>
    </row>
    <row r="218" ht="15.75" customHeight="1">
      <c r="A218" s="27">
        <v>218.0</v>
      </c>
      <c r="B218" s="27" t="s">
        <v>239</v>
      </c>
      <c r="C218" s="27" t="s">
        <v>238</v>
      </c>
      <c r="D218" s="27" t="s">
        <v>22</v>
      </c>
      <c r="E218" s="29">
        <v>1.0</v>
      </c>
    </row>
    <row r="219" ht="15.75" customHeight="1">
      <c r="A219" s="27">
        <v>219.0</v>
      </c>
      <c r="B219" s="27" t="s">
        <v>240</v>
      </c>
      <c r="C219" s="27" t="s">
        <v>238</v>
      </c>
      <c r="D219" s="27" t="s">
        <v>22</v>
      </c>
      <c r="E219" s="24">
        <v>2.0</v>
      </c>
    </row>
    <row r="220" ht="15.75" customHeight="1">
      <c r="A220" s="27">
        <v>220.0</v>
      </c>
      <c r="B220" s="27" t="s">
        <v>241</v>
      </c>
      <c r="C220" s="27" t="s">
        <v>238</v>
      </c>
      <c r="D220" s="27" t="s">
        <v>22</v>
      </c>
      <c r="E220" s="29">
        <v>1.0</v>
      </c>
    </row>
    <row r="221" ht="15.75" customHeight="1">
      <c r="A221" s="27">
        <v>221.0</v>
      </c>
      <c r="B221" s="27" t="s">
        <v>242</v>
      </c>
      <c r="C221" s="27" t="s">
        <v>238</v>
      </c>
      <c r="D221" s="27" t="s">
        <v>22</v>
      </c>
      <c r="E221" s="29">
        <v>1.0</v>
      </c>
    </row>
    <row r="222" ht="15.75" customHeight="1">
      <c r="A222" s="27">
        <v>222.0</v>
      </c>
      <c r="B222" s="27" t="s">
        <v>243</v>
      </c>
      <c r="C222" s="27" t="s">
        <v>238</v>
      </c>
      <c r="D222" s="27" t="s">
        <v>22</v>
      </c>
      <c r="E222" s="24">
        <v>2.0</v>
      </c>
    </row>
    <row r="223" ht="15.75" customHeight="1">
      <c r="A223" s="27">
        <v>223.0</v>
      </c>
      <c r="B223" s="27" t="s">
        <v>244</v>
      </c>
      <c r="C223" s="27" t="s">
        <v>238</v>
      </c>
      <c r="D223" s="27" t="s">
        <v>22</v>
      </c>
    </row>
    <row r="224" ht="15.75" customHeight="1">
      <c r="A224" s="27">
        <v>224.0</v>
      </c>
      <c r="B224" s="27" t="s">
        <v>245</v>
      </c>
      <c r="C224" s="27" t="s">
        <v>238</v>
      </c>
      <c r="D224" s="27" t="s">
        <v>22</v>
      </c>
      <c r="E224" s="24">
        <v>2.0</v>
      </c>
    </row>
    <row r="225" ht="15.75" customHeight="1">
      <c r="A225" s="27">
        <v>225.0</v>
      </c>
      <c r="B225" s="27" t="s">
        <v>246</v>
      </c>
      <c r="C225" s="27" t="s">
        <v>238</v>
      </c>
      <c r="D225" s="27" t="s">
        <v>22</v>
      </c>
      <c r="E225" s="24">
        <v>2.0</v>
      </c>
    </row>
    <row r="226" ht="15.75" customHeight="1">
      <c r="A226" s="27">
        <v>226.0</v>
      </c>
      <c r="B226" s="27" t="s">
        <v>247</v>
      </c>
      <c r="C226" s="27" t="s">
        <v>238</v>
      </c>
      <c r="D226" s="27" t="s">
        <v>22</v>
      </c>
      <c r="E226" s="24">
        <v>1.0</v>
      </c>
    </row>
    <row r="227" ht="15.75" customHeight="1">
      <c r="A227" s="27">
        <v>227.0</v>
      </c>
      <c r="B227" s="27" t="s">
        <v>248</v>
      </c>
      <c r="C227" s="27" t="s">
        <v>238</v>
      </c>
      <c r="D227" s="27" t="s">
        <v>22</v>
      </c>
    </row>
    <row r="228" ht="15.75" customHeight="1">
      <c r="A228" s="27">
        <v>228.0</v>
      </c>
      <c r="B228" s="27" t="s">
        <v>249</v>
      </c>
      <c r="C228" s="27" t="s">
        <v>238</v>
      </c>
      <c r="D228" s="27" t="s">
        <v>22</v>
      </c>
      <c r="E228" s="24"/>
    </row>
    <row r="229" ht="15.75" customHeight="1">
      <c r="A229" s="27">
        <v>229.0</v>
      </c>
      <c r="B229" s="27" t="s">
        <v>250</v>
      </c>
      <c r="C229" s="27" t="s">
        <v>238</v>
      </c>
      <c r="D229" s="27" t="s">
        <v>22</v>
      </c>
      <c r="E229" s="24">
        <v>1.0</v>
      </c>
    </row>
    <row r="230" ht="15.75" customHeight="1">
      <c r="A230" s="27">
        <v>230.0</v>
      </c>
      <c r="B230" s="27" t="s">
        <v>251</v>
      </c>
      <c r="C230" s="27" t="s">
        <v>238</v>
      </c>
      <c r="D230" s="27" t="s">
        <v>22</v>
      </c>
      <c r="E230" s="24">
        <v>1.0</v>
      </c>
    </row>
    <row r="231" ht="15.75" customHeight="1">
      <c r="A231" s="27">
        <v>231.0</v>
      </c>
      <c r="B231" s="27" t="s">
        <v>252</v>
      </c>
      <c r="C231" s="27" t="s">
        <v>238</v>
      </c>
      <c r="D231" s="27" t="s">
        <v>22</v>
      </c>
    </row>
    <row r="232" ht="15.75" customHeight="1">
      <c r="A232" s="27">
        <v>232.0</v>
      </c>
      <c r="B232" s="27" t="s">
        <v>253</v>
      </c>
      <c r="C232" s="27" t="s">
        <v>238</v>
      </c>
      <c r="D232" s="27"/>
    </row>
    <row r="233" ht="15.75" customHeight="1">
      <c r="A233" s="27">
        <v>233.0</v>
      </c>
      <c r="B233" s="27" t="s">
        <v>254</v>
      </c>
      <c r="C233" s="27" t="s">
        <v>238</v>
      </c>
      <c r="D233" s="27"/>
    </row>
    <row r="234" ht="15.75" customHeight="1">
      <c r="A234" s="27">
        <v>234.0</v>
      </c>
      <c r="B234" s="27" t="s">
        <v>255</v>
      </c>
      <c r="C234" s="27" t="s">
        <v>238</v>
      </c>
      <c r="D234" s="27" t="s">
        <v>22</v>
      </c>
      <c r="E234" s="24">
        <v>2.0</v>
      </c>
    </row>
    <row r="235" ht="15.75" customHeight="1">
      <c r="A235" s="27">
        <v>235.0</v>
      </c>
      <c r="B235" s="27" t="s">
        <v>20</v>
      </c>
      <c r="C235" s="27" t="s">
        <v>256</v>
      </c>
      <c r="D235" s="27" t="s">
        <v>22</v>
      </c>
      <c r="E235" s="29">
        <v>1.0</v>
      </c>
    </row>
    <row r="236" ht="15.75" customHeight="1">
      <c r="A236" s="27">
        <v>236.0</v>
      </c>
      <c r="B236" s="27" t="s">
        <v>257</v>
      </c>
      <c r="C236" s="27" t="s">
        <v>256</v>
      </c>
      <c r="D236" s="27" t="s">
        <v>22</v>
      </c>
      <c r="E236" s="24">
        <v>1.0</v>
      </c>
    </row>
    <row r="237" ht="15.75" customHeight="1">
      <c r="A237" s="27">
        <v>237.0</v>
      </c>
      <c r="B237" s="27" t="s">
        <v>258</v>
      </c>
      <c r="C237" s="27" t="s">
        <v>256</v>
      </c>
      <c r="D237" s="27" t="s">
        <v>22</v>
      </c>
      <c r="E237" s="24">
        <v>1.0</v>
      </c>
    </row>
    <row r="238" ht="15.75" customHeight="1">
      <c r="A238" s="27">
        <v>238.0</v>
      </c>
      <c r="B238" s="27" t="s">
        <v>259</v>
      </c>
      <c r="C238" s="27" t="s">
        <v>256</v>
      </c>
      <c r="D238" s="27" t="s">
        <v>22</v>
      </c>
    </row>
    <row r="239" ht="15.75" customHeight="1">
      <c r="A239" s="27">
        <v>239.0</v>
      </c>
      <c r="B239" s="27" t="s">
        <v>260</v>
      </c>
      <c r="C239" s="27" t="s">
        <v>256</v>
      </c>
      <c r="D239" s="27" t="s">
        <v>22</v>
      </c>
    </row>
    <row r="240" ht="15.75" customHeight="1">
      <c r="A240" s="27">
        <v>240.0</v>
      </c>
      <c r="B240" s="27" t="s">
        <v>261</v>
      </c>
      <c r="C240" s="27" t="s">
        <v>256</v>
      </c>
      <c r="D240" s="27" t="s">
        <v>22</v>
      </c>
    </row>
    <row r="241" ht="15.75" customHeight="1">
      <c r="A241" s="27">
        <v>241.0</v>
      </c>
      <c r="B241" s="27" t="s">
        <v>262</v>
      </c>
      <c r="C241" s="27" t="s">
        <v>256</v>
      </c>
      <c r="D241" s="27"/>
    </row>
    <row r="242" ht="15.75" customHeight="1">
      <c r="A242" s="27">
        <v>242.0</v>
      </c>
      <c r="B242" s="27" t="s">
        <v>263</v>
      </c>
      <c r="C242" s="27" t="s">
        <v>256</v>
      </c>
      <c r="D242" s="27" t="s">
        <v>22</v>
      </c>
      <c r="E242" s="24">
        <v>1.0</v>
      </c>
    </row>
    <row r="243" ht="15.75" customHeight="1">
      <c r="A243" s="27">
        <v>243.0</v>
      </c>
      <c r="B243" s="27" t="s">
        <v>264</v>
      </c>
      <c r="C243" s="27" t="s">
        <v>256</v>
      </c>
      <c r="D243" s="27" t="s">
        <v>22</v>
      </c>
    </row>
    <row r="244" ht="15.75" customHeight="1">
      <c r="A244" s="27">
        <v>244.0</v>
      </c>
      <c r="B244" s="27" t="s">
        <v>265</v>
      </c>
      <c r="C244" s="27" t="s">
        <v>256</v>
      </c>
      <c r="D244" s="27" t="s">
        <v>22</v>
      </c>
      <c r="E244" s="24">
        <v>1.0</v>
      </c>
    </row>
    <row r="245" ht="15.75" customHeight="1">
      <c r="A245" s="27">
        <v>245.0</v>
      </c>
      <c r="B245" s="27" t="s">
        <v>266</v>
      </c>
      <c r="C245" s="27" t="s">
        <v>256</v>
      </c>
      <c r="D245" s="27" t="s">
        <v>22</v>
      </c>
      <c r="E245" s="24">
        <v>2.0</v>
      </c>
    </row>
    <row r="246" ht="15.75" customHeight="1">
      <c r="A246" s="27">
        <v>246.0</v>
      </c>
      <c r="B246" s="27" t="s">
        <v>267</v>
      </c>
      <c r="C246" s="27" t="s">
        <v>256</v>
      </c>
      <c r="D246" s="27" t="s">
        <v>22</v>
      </c>
    </row>
    <row r="247" ht="15.75" customHeight="1">
      <c r="A247" s="27">
        <v>247.0</v>
      </c>
      <c r="B247" s="27" t="s">
        <v>268</v>
      </c>
      <c r="C247" s="27" t="s">
        <v>256</v>
      </c>
      <c r="D247" s="27" t="s">
        <v>22</v>
      </c>
      <c r="E247" s="24">
        <v>1.0</v>
      </c>
    </row>
    <row r="248" ht="15.75" customHeight="1">
      <c r="A248" s="27">
        <v>248.0</v>
      </c>
      <c r="B248" s="27" t="s">
        <v>269</v>
      </c>
      <c r="C248" s="27" t="s">
        <v>256</v>
      </c>
      <c r="D248" s="27" t="s">
        <v>22</v>
      </c>
      <c r="E248" s="24">
        <v>3.0</v>
      </c>
    </row>
    <row r="249" ht="15.75" customHeight="1">
      <c r="A249" s="27">
        <v>249.0</v>
      </c>
      <c r="B249" s="27" t="s">
        <v>270</v>
      </c>
      <c r="C249" s="27" t="s">
        <v>256</v>
      </c>
      <c r="D249" s="27" t="s">
        <v>22</v>
      </c>
      <c r="E249" s="29">
        <v>1.0</v>
      </c>
    </row>
    <row r="250" ht="15.75" customHeight="1">
      <c r="A250" s="27">
        <v>250.0</v>
      </c>
      <c r="B250" s="27" t="s">
        <v>271</v>
      </c>
      <c r="C250" s="27" t="s">
        <v>256</v>
      </c>
      <c r="D250" s="27" t="s">
        <v>22</v>
      </c>
      <c r="E250" s="24">
        <v>2.0</v>
      </c>
    </row>
    <row r="251" ht="15.75" customHeight="1">
      <c r="A251" s="27">
        <v>251.0</v>
      </c>
      <c r="B251" s="27" t="s">
        <v>272</v>
      </c>
      <c r="C251" s="27" t="s">
        <v>256</v>
      </c>
      <c r="D251" s="27" t="s">
        <v>22</v>
      </c>
    </row>
    <row r="252" ht="15.75" customHeight="1">
      <c r="A252" s="27">
        <v>252.0</v>
      </c>
      <c r="B252" s="27" t="s">
        <v>273</v>
      </c>
      <c r="C252" s="27" t="s">
        <v>256</v>
      </c>
      <c r="D252" s="27" t="s">
        <v>22</v>
      </c>
    </row>
    <row r="253" ht="15.75" customHeight="1">
      <c r="A253" s="27">
        <v>253.0</v>
      </c>
      <c r="B253" s="27" t="s">
        <v>20</v>
      </c>
      <c r="C253" s="27" t="s">
        <v>274</v>
      </c>
      <c r="D253" s="27"/>
    </row>
    <row r="254" ht="15.75" customHeight="1">
      <c r="A254" s="27">
        <v>254.0</v>
      </c>
      <c r="B254" s="27" t="s">
        <v>275</v>
      </c>
      <c r="C254" s="27" t="s">
        <v>274</v>
      </c>
      <c r="D254" s="27" t="s">
        <v>22</v>
      </c>
      <c r="E254" s="29">
        <v>1.0</v>
      </c>
      <c r="F254" s="24"/>
    </row>
    <row r="255" ht="15.75" customHeight="1">
      <c r="A255" s="27">
        <v>255.0</v>
      </c>
      <c r="B255" s="27" t="s">
        <v>276</v>
      </c>
      <c r="C255" s="27" t="s">
        <v>274</v>
      </c>
      <c r="D255" s="27" t="s">
        <v>22</v>
      </c>
      <c r="E255" s="24">
        <v>1.0</v>
      </c>
    </row>
    <row r="256" ht="15.75" customHeight="1">
      <c r="A256" s="27">
        <v>256.0</v>
      </c>
      <c r="B256" s="27" t="s">
        <v>277</v>
      </c>
      <c r="C256" s="27" t="s">
        <v>274</v>
      </c>
      <c r="D256" s="27" t="s">
        <v>22</v>
      </c>
      <c r="E256" s="29">
        <v>1.0</v>
      </c>
    </row>
    <row r="257" ht="15.75" customHeight="1">
      <c r="A257" s="27">
        <v>257.0</v>
      </c>
      <c r="B257" s="27" t="s">
        <v>278</v>
      </c>
      <c r="C257" s="27" t="s">
        <v>274</v>
      </c>
      <c r="D257" s="27" t="s">
        <v>22</v>
      </c>
      <c r="E257" s="24">
        <v>1.0</v>
      </c>
    </row>
    <row r="258" ht="15.75" customHeight="1">
      <c r="A258" s="27">
        <v>258.0</v>
      </c>
      <c r="B258" s="27" t="s">
        <v>279</v>
      </c>
      <c r="C258" s="27" t="s">
        <v>274</v>
      </c>
      <c r="D258" s="27" t="s">
        <v>22</v>
      </c>
      <c r="E258" s="28">
        <v>1.0</v>
      </c>
    </row>
    <row r="259" ht="15.75" customHeight="1">
      <c r="A259" s="27">
        <v>259.0</v>
      </c>
      <c r="B259" s="27" t="s">
        <v>280</v>
      </c>
      <c r="C259" s="27" t="s">
        <v>274</v>
      </c>
      <c r="D259" s="27" t="s">
        <v>22</v>
      </c>
      <c r="E259" s="24">
        <v>2.0</v>
      </c>
    </row>
    <row r="260" ht="15.75" customHeight="1">
      <c r="A260" s="27">
        <v>260.0</v>
      </c>
      <c r="B260" s="27" t="s">
        <v>281</v>
      </c>
      <c r="C260" s="27" t="s">
        <v>274</v>
      </c>
      <c r="D260" s="27" t="s">
        <v>22</v>
      </c>
      <c r="E260" s="24">
        <v>2.0</v>
      </c>
    </row>
    <row r="261" ht="15.75" customHeight="1">
      <c r="A261" s="27">
        <v>261.0</v>
      </c>
      <c r="B261" s="27" t="s">
        <v>282</v>
      </c>
      <c r="C261" s="27" t="s">
        <v>274</v>
      </c>
      <c r="D261" s="27" t="s">
        <v>22</v>
      </c>
    </row>
    <row r="262" ht="15.75" customHeight="1">
      <c r="A262" s="27">
        <v>262.0</v>
      </c>
      <c r="B262" s="27" t="s">
        <v>283</v>
      </c>
      <c r="C262" s="27" t="s">
        <v>274</v>
      </c>
      <c r="D262" s="27" t="s">
        <v>22</v>
      </c>
      <c r="E262" s="24">
        <v>1.0</v>
      </c>
    </row>
    <row r="263" ht="15.75" customHeight="1">
      <c r="A263" s="27">
        <v>263.0</v>
      </c>
      <c r="B263" s="27" t="s">
        <v>284</v>
      </c>
      <c r="C263" s="27" t="s">
        <v>274</v>
      </c>
      <c r="D263" s="27"/>
    </row>
    <row r="264" ht="15.75" customHeight="1">
      <c r="A264" s="27">
        <v>264.0</v>
      </c>
      <c r="B264" s="27" t="s">
        <v>285</v>
      </c>
      <c r="C264" s="27" t="s">
        <v>274</v>
      </c>
      <c r="D264" s="27" t="s">
        <v>22</v>
      </c>
      <c r="E264" s="24"/>
    </row>
    <row r="265" ht="15.75" customHeight="1">
      <c r="A265" s="27">
        <v>265.0</v>
      </c>
      <c r="B265" s="27" t="s">
        <v>286</v>
      </c>
      <c r="C265" s="27" t="s">
        <v>274</v>
      </c>
      <c r="D265" s="27" t="s">
        <v>22</v>
      </c>
      <c r="E265" s="24">
        <v>2.0</v>
      </c>
    </row>
    <row r="266" ht="15.75" customHeight="1">
      <c r="A266" s="27">
        <v>266.0</v>
      </c>
      <c r="B266" s="27" t="s">
        <v>287</v>
      </c>
      <c r="C266" s="27" t="s">
        <v>274</v>
      </c>
      <c r="D266" s="27" t="s">
        <v>22</v>
      </c>
      <c r="E266" s="24">
        <v>1.0</v>
      </c>
    </row>
    <row r="267" ht="15.75" customHeight="1">
      <c r="A267" s="27">
        <v>267.0</v>
      </c>
      <c r="B267" s="27" t="s">
        <v>288</v>
      </c>
      <c r="C267" s="27" t="s">
        <v>274</v>
      </c>
      <c r="D267" s="27" t="s">
        <v>22</v>
      </c>
      <c r="E267" s="24">
        <v>1.0</v>
      </c>
    </row>
    <row r="268" ht="15.75" customHeight="1">
      <c r="A268" s="27">
        <v>268.0</v>
      </c>
      <c r="B268" s="27" t="s">
        <v>289</v>
      </c>
      <c r="C268" s="27" t="s">
        <v>274</v>
      </c>
      <c r="D268" s="27" t="s">
        <v>22</v>
      </c>
    </row>
    <row r="269" ht="15.75" customHeight="1">
      <c r="A269" s="27">
        <v>269.0</v>
      </c>
      <c r="B269" s="27" t="s">
        <v>290</v>
      </c>
      <c r="C269" s="27" t="s">
        <v>274</v>
      </c>
      <c r="D269" s="27" t="s">
        <v>22</v>
      </c>
      <c r="E269" s="24">
        <v>1.0</v>
      </c>
    </row>
    <row r="270" ht="15.75" customHeight="1">
      <c r="A270" s="27">
        <v>270.0</v>
      </c>
      <c r="B270" s="27" t="s">
        <v>291</v>
      </c>
      <c r="C270" s="27" t="s">
        <v>274</v>
      </c>
      <c r="D270" s="27" t="s">
        <v>22</v>
      </c>
    </row>
    <row r="271" ht="15.75" customHeight="1">
      <c r="A271" s="27">
        <v>271.0</v>
      </c>
      <c r="B271" s="27" t="s">
        <v>20</v>
      </c>
      <c r="C271" s="27" t="s">
        <v>292</v>
      </c>
      <c r="D271" s="27" t="s">
        <v>22</v>
      </c>
    </row>
    <row r="272" ht="15.75" customHeight="1">
      <c r="A272" s="27">
        <v>272.0</v>
      </c>
      <c r="B272" s="27" t="s">
        <v>293</v>
      </c>
      <c r="C272" s="27" t="s">
        <v>292</v>
      </c>
      <c r="D272" s="27" t="s">
        <v>22</v>
      </c>
    </row>
    <row r="273" ht="15.75" customHeight="1">
      <c r="A273" s="27">
        <v>273.0</v>
      </c>
      <c r="B273" s="27" t="s">
        <v>294</v>
      </c>
      <c r="C273" s="27" t="s">
        <v>292</v>
      </c>
      <c r="D273" s="27" t="s">
        <v>22</v>
      </c>
      <c r="E273" s="29">
        <v>1.0</v>
      </c>
    </row>
    <row r="274" ht="15.75" customHeight="1">
      <c r="A274" s="27">
        <v>274.0</v>
      </c>
      <c r="B274" s="27" t="s">
        <v>295</v>
      </c>
      <c r="C274" s="27" t="s">
        <v>292</v>
      </c>
      <c r="D274" s="27" t="s">
        <v>22</v>
      </c>
      <c r="E274" s="29">
        <v>1.0</v>
      </c>
    </row>
    <row r="275" ht="15.75" customHeight="1">
      <c r="A275" s="27">
        <v>275.0</v>
      </c>
      <c r="B275" s="27" t="s">
        <v>296</v>
      </c>
      <c r="C275" s="27" t="s">
        <v>292</v>
      </c>
      <c r="D275" s="27" t="s">
        <v>22</v>
      </c>
    </row>
    <row r="276" ht="15.75" customHeight="1">
      <c r="A276" s="27">
        <v>276.0</v>
      </c>
      <c r="B276" s="27" t="s">
        <v>297</v>
      </c>
      <c r="C276" s="27" t="s">
        <v>292</v>
      </c>
      <c r="D276" s="27"/>
    </row>
    <row r="277" ht="15.75" customHeight="1">
      <c r="A277" s="27">
        <v>277.0</v>
      </c>
      <c r="B277" s="27" t="s">
        <v>298</v>
      </c>
      <c r="C277" s="27" t="s">
        <v>292</v>
      </c>
      <c r="D277" s="27" t="s">
        <v>22</v>
      </c>
      <c r="E277" s="24">
        <v>1.0</v>
      </c>
    </row>
    <row r="278" ht="15.75" customHeight="1">
      <c r="A278" s="27">
        <v>278.0</v>
      </c>
      <c r="B278" s="27" t="s">
        <v>299</v>
      </c>
      <c r="C278" s="27" t="s">
        <v>292</v>
      </c>
      <c r="D278" s="27" t="s">
        <v>22</v>
      </c>
      <c r="E278" s="28">
        <v>2.0</v>
      </c>
    </row>
    <row r="279" ht="15.75" customHeight="1">
      <c r="A279" s="27">
        <v>279.0</v>
      </c>
      <c r="B279" s="27" t="s">
        <v>300</v>
      </c>
      <c r="C279" s="27" t="s">
        <v>292</v>
      </c>
      <c r="D279" s="27" t="s">
        <v>22</v>
      </c>
      <c r="E279" s="24">
        <v>1.0</v>
      </c>
    </row>
    <row r="280" ht="15.75" customHeight="1">
      <c r="A280" s="27">
        <v>280.0</v>
      </c>
      <c r="B280" s="27" t="s">
        <v>301</v>
      </c>
      <c r="C280" s="27" t="s">
        <v>292</v>
      </c>
      <c r="D280" s="27" t="s">
        <v>22</v>
      </c>
    </row>
    <row r="281" ht="15.75" customHeight="1">
      <c r="A281" s="27">
        <v>281.0</v>
      </c>
      <c r="B281" s="27" t="s">
        <v>302</v>
      </c>
      <c r="C281" s="27" t="s">
        <v>292</v>
      </c>
      <c r="D281" s="27" t="s">
        <v>22</v>
      </c>
      <c r="E281" s="24">
        <v>2.0</v>
      </c>
    </row>
    <row r="282" ht="15.75" customHeight="1">
      <c r="A282" s="27">
        <v>282.0</v>
      </c>
      <c r="B282" s="27" t="s">
        <v>303</v>
      </c>
      <c r="C282" s="27" t="s">
        <v>292</v>
      </c>
      <c r="D282" s="27" t="s">
        <v>22</v>
      </c>
      <c r="E282" s="24">
        <v>1.0</v>
      </c>
    </row>
    <row r="283" ht="15.75" customHeight="1">
      <c r="A283" s="27">
        <v>283.0</v>
      </c>
      <c r="B283" s="27" t="s">
        <v>304</v>
      </c>
      <c r="C283" s="27" t="s">
        <v>292</v>
      </c>
      <c r="D283" s="27" t="s">
        <v>22</v>
      </c>
      <c r="E283" s="24">
        <v>1.0</v>
      </c>
    </row>
    <row r="284" ht="15.75" customHeight="1">
      <c r="A284" s="27">
        <v>284.0</v>
      </c>
      <c r="B284" s="27" t="s">
        <v>305</v>
      </c>
      <c r="C284" s="27" t="s">
        <v>292</v>
      </c>
      <c r="D284" s="27" t="s">
        <v>22</v>
      </c>
      <c r="E284" s="24">
        <v>1.0</v>
      </c>
    </row>
    <row r="285" ht="15.75" customHeight="1">
      <c r="A285" s="27">
        <v>285.0</v>
      </c>
      <c r="B285" s="27" t="s">
        <v>306</v>
      </c>
      <c r="C285" s="27" t="s">
        <v>292</v>
      </c>
      <c r="D285" s="27" t="s">
        <v>22</v>
      </c>
      <c r="E285" s="24">
        <v>1.0</v>
      </c>
    </row>
    <row r="286" ht="15.75" customHeight="1">
      <c r="A286" s="27">
        <v>286.0</v>
      </c>
      <c r="B286" s="27" t="s">
        <v>307</v>
      </c>
      <c r="C286" s="27" t="s">
        <v>292</v>
      </c>
      <c r="D286" s="27" t="s">
        <v>22</v>
      </c>
      <c r="E286" s="24">
        <v>2.0</v>
      </c>
    </row>
    <row r="287" ht="15.75" customHeight="1">
      <c r="A287" s="27">
        <v>287.0</v>
      </c>
      <c r="B287" s="27" t="s">
        <v>308</v>
      </c>
      <c r="C287" s="27" t="s">
        <v>292</v>
      </c>
      <c r="D287" s="27" t="s">
        <v>22</v>
      </c>
      <c r="E287" s="24"/>
    </row>
    <row r="288" ht="15.75" customHeight="1">
      <c r="A288" s="27">
        <v>288.0</v>
      </c>
      <c r="B288" s="27" t="s">
        <v>309</v>
      </c>
      <c r="C288" s="27" t="s">
        <v>292</v>
      </c>
      <c r="D288" s="27" t="s">
        <v>22</v>
      </c>
    </row>
    <row r="289" ht="15.75" customHeight="1">
      <c r="A289" s="27">
        <v>289.0</v>
      </c>
      <c r="B289" s="27" t="s">
        <v>20</v>
      </c>
      <c r="C289" s="27" t="s">
        <v>310</v>
      </c>
      <c r="D289" s="27" t="s">
        <v>22</v>
      </c>
      <c r="E289" s="29">
        <v>1.0</v>
      </c>
    </row>
    <row r="290" ht="15.75" customHeight="1">
      <c r="A290" s="27">
        <v>290.0</v>
      </c>
      <c r="B290" s="27" t="s">
        <v>311</v>
      </c>
      <c r="C290" s="27" t="s">
        <v>310</v>
      </c>
      <c r="D290" s="27" t="s">
        <v>22</v>
      </c>
      <c r="E290" s="24">
        <v>3.0</v>
      </c>
    </row>
    <row r="291" ht="15.75" customHeight="1">
      <c r="A291" s="27">
        <v>291.0</v>
      </c>
      <c r="B291" s="27" t="s">
        <v>312</v>
      </c>
      <c r="C291" s="27" t="s">
        <v>310</v>
      </c>
      <c r="D291" s="27" t="s">
        <v>22</v>
      </c>
      <c r="E291" s="24">
        <v>1.0</v>
      </c>
    </row>
    <row r="292" ht="15.75" customHeight="1">
      <c r="A292" s="27">
        <v>292.0</v>
      </c>
      <c r="B292" s="27" t="s">
        <v>313</v>
      </c>
      <c r="C292" s="27" t="s">
        <v>310</v>
      </c>
      <c r="D292" s="27" t="s">
        <v>22</v>
      </c>
      <c r="E292" s="24">
        <v>2.0</v>
      </c>
    </row>
    <row r="293" ht="15.75" customHeight="1">
      <c r="A293" s="27">
        <v>293.0</v>
      </c>
      <c r="B293" s="27" t="s">
        <v>314</v>
      </c>
      <c r="C293" s="27" t="s">
        <v>310</v>
      </c>
      <c r="D293" s="27" t="s">
        <v>22</v>
      </c>
      <c r="E293" s="24">
        <v>1.0</v>
      </c>
    </row>
    <row r="294" ht="15.75" customHeight="1">
      <c r="A294" s="27">
        <v>294.0</v>
      </c>
      <c r="B294" s="27" t="s">
        <v>315</v>
      </c>
      <c r="C294" s="27" t="s">
        <v>310</v>
      </c>
      <c r="D294" s="27" t="s">
        <v>22</v>
      </c>
      <c r="E294" s="24">
        <v>1.0</v>
      </c>
    </row>
    <row r="295" ht="15.75" customHeight="1">
      <c r="A295" s="27">
        <v>295.0</v>
      </c>
      <c r="B295" s="27" t="s">
        <v>316</v>
      </c>
      <c r="C295" s="27" t="s">
        <v>310</v>
      </c>
      <c r="D295" s="27" t="s">
        <v>22</v>
      </c>
      <c r="E295" s="24">
        <v>2.0</v>
      </c>
    </row>
    <row r="296" ht="15.75" customHeight="1">
      <c r="A296" s="27">
        <v>296.0</v>
      </c>
      <c r="B296" s="27" t="s">
        <v>317</v>
      </c>
      <c r="C296" s="27" t="s">
        <v>310</v>
      </c>
      <c r="D296" s="27" t="s">
        <v>22</v>
      </c>
      <c r="E296" s="28">
        <v>2.0</v>
      </c>
    </row>
    <row r="297" ht="15.75" customHeight="1">
      <c r="A297" s="27">
        <v>297.0</v>
      </c>
      <c r="B297" s="27" t="s">
        <v>318</v>
      </c>
      <c r="C297" s="27" t="s">
        <v>310</v>
      </c>
      <c r="D297" s="27" t="s">
        <v>22</v>
      </c>
    </row>
    <row r="298" ht="15.75" customHeight="1">
      <c r="A298" s="27">
        <v>298.0</v>
      </c>
      <c r="B298" s="27" t="s">
        <v>319</v>
      </c>
      <c r="C298" s="27" t="s">
        <v>310</v>
      </c>
      <c r="D298" s="27" t="s">
        <v>22</v>
      </c>
    </row>
    <row r="299" ht="15.75" customHeight="1">
      <c r="A299" s="27">
        <v>299.0</v>
      </c>
      <c r="B299" s="27" t="s">
        <v>320</v>
      </c>
      <c r="C299" s="27" t="s">
        <v>310</v>
      </c>
      <c r="D299" s="27" t="s">
        <v>22</v>
      </c>
      <c r="E299" s="24">
        <v>1.0</v>
      </c>
    </row>
    <row r="300" ht="15.75" customHeight="1">
      <c r="A300" s="27">
        <v>300.0</v>
      </c>
      <c r="B300" s="27" t="s">
        <v>321</v>
      </c>
      <c r="C300" s="27" t="s">
        <v>310</v>
      </c>
      <c r="D300" s="27" t="s">
        <v>22</v>
      </c>
      <c r="E300" s="24">
        <v>1.0</v>
      </c>
    </row>
    <row r="301" ht="15.75" customHeight="1">
      <c r="A301" s="27">
        <v>301.0</v>
      </c>
      <c r="B301" s="27" t="s">
        <v>322</v>
      </c>
      <c r="C301" s="27" t="s">
        <v>310</v>
      </c>
      <c r="D301" s="27" t="s">
        <v>22</v>
      </c>
    </row>
    <row r="302" ht="15.75" customHeight="1">
      <c r="A302" s="27">
        <v>302.0</v>
      </c>
      <c r="B302" s="27" t="s">
        <v>323</v>
      </c>
      <c r="C302" s="27" t="s">
        <v>310</v>
      </c>
      <c r="D302" s="27" t="s">
        <v>22</v>
      </c>
      <c r="E302" s="24">
        <v>2.0</v>
      </c>
    </row>
    <row r="303" ht="15.75" customHeight="1">
      <c r="A303" s="27">
        <v>303.0</v>
      </c>
      <c r="B303" s="27" t="s">
        <v>324</v>
      </c>
      <c r="C303" s="27" t="s">
        <v>310</v>
      </c>
      <c r="D303" s="27" t="s">
        <v>22</v>
      </c>
    </row>
    <row r="304" ht="15.75" customHeight="1">
      <c r="A304" s="27">
        <v>304.0</v>
      </c>
      <c r="B304" s="27" t="s">
        <v>325</v>
      </c>
      <c r="C304" s="27" t="s">
        <v>310</v>
      </c>
      <c r="D304" s="27" t="s">
        <v>22</v>
      </c>
    </row>
    <row r="305" ht="15.75" customHeight="1">
      <c r="A305" s="27">
        <v>305.0</v>
      </c>
      <c r="B305" s="27" t="s">
        <v>326</v>
      </c>
      <c r="C305" s="27" t="s">
        <v>310</v>
      </c>
      <c r="D305" s="27" t="s">
        <v>22</v>
      </c>
    </row>
    <row r="306" ht="15.75" customHeight="1">
      <c r="A306" s="27">
        <v>306.0</v>
      </c>
      <c r="B306" s="27" t="s">
        <v>327</v>
      </c>
      <c r="C306" s="27" t="s">
        <v>310</v>
      </c>
      <c r="D306" s="27" t="s">
        <v>22</v>
      </c>
      <c r="E306" s="24">
        <v>1.0</v>
      </c>
    </row>
    <row r="307" ht="15.75" customHeight="1">
      <c r="A307" s="27">
        <v>307.0</v>
      </c>
      <c r="B307" s="27" t="s">
        <v>20</v>
      </c>
      <c r="C307" s="27" t="s">
        <v>328</v>
      </c>
      <c r="D307" s="27" t="s">
        <v>22</v>
      </c>
    </row>
    <row r="308" ht="15.75" customHeight="1">
      <c r="A308" s="27">
        <v>308.0</v>
      </c>
      <c r="B308" s="27" t="s">
        <v>329</v>
      </c>
      <c r="C308" s="27" t="s">
        <v>328</v>
      </c>
      <c r="D308" s="27" t="s">
        <v>22</v>
      </c>
      <c r="E308" s="24">
        <v>1.0</v>
      </c>
    </row>
    <row r="309" ht="15.75" customHeight="1">
      <c r="A309" s="27">
        <v>309.0</v>
      </c>
      <c r="B309" s="27" t="s">
        <v>330</v>
      </c>
      <c r="C309" s="27" t="s">
        <v>328</v>
      </c>
      <c r="D309" s="27" t="s">
        <v>22</v>
      </c>
      <c r="E309" s="24">
        <v>1.0</v>
      </c>
    </row>
    <row r="310" ht="15.75" customHeight="1">
      <c r="A310" s="27">
        <v>310.0</v>
      </c>
      <c r="B310" s="27" t="s">
        <v>331</v>
      </c>
      <c r="C310" s="27" t="s">
        <v>328</v>
      </c>
      <c r="D310" s="27"/>
    </row>
    <row r="311" ht="15.75" customHeight="1">
      <c r="A311" s="27">
        <v>311.0</v>
      </c>
      <c r="B311" s="27" t="s">
        <v>332</v>
      </c>
      <c r="C311" s="27" t="s">
        <v>328</v>
      </c>
      <c r="D311" s="27" t="s">
        <v>22</v>
      </c>
    </row>
    <row r="312" ht="15.75" customHeight="1">
      <c r="A312" s="27">
        <v>312.0</v>
      </c>
      <c r="B312" s="27" t="s">
        <v>333</v>
      </c>
      <c r="C312" s="27" t="s">
        <v>328</v>
      </c>
      <c r="D312" s="27" t="s">
        <v>22</v>
      </c>
      <c r="E312" s="24">
        <v>2.0</v>
      </c>
    </row>
    <row r="313" ht="15.75" customHeight="1">
      <c r="A313" s="27">
        <v>313.0</v>
      </c>
      <c r="B313" s="27" t="s">
        <v>334</v>
      </c>
      <c r="C313" s="27" t="s">
        <v>328</v>
      </c>
      <c r="D313" s="27" t="s">
        <v>22</v>
      </c>
      <c r="E313" s="28">
        <v>1.0</v>
      </c>
    </row>
    <row r="314" ht="15.75" customHeight="1">
      <c r="A314" s="27">
        <v>314.0</v>
      </c>
      <c r="B314" s="27" t="s">
        <v>335</v>
      </c>
      <c r="C314" s="27" t="s">
        <v>328</v>
      </c>
      <c r="D314" s="27" t="s">
        <v>22</v>
      </c>
      <c r="E314" s="24">
        <v>1.0</v>
      </c>
    </row>
    <row r="315" ht="15.75" customHeight="1">
      <c r="A315" s="27">
        <v>315.0</v>
      </c>
      <c r="B315" s="27" t="s">
        <v>336</v>
      </c>
      <c r="C315" s="27" t="s">
        <v>328</v>
      </c>
      <c r="D315" s="27" t="s">
        <v>22</v>
      </c>
    </row>
    <row r="316" ht="15.75" customHeight="1">
      <c r="A316" s="27">
        <v>316.0</v>
      </c>
      <c r="B316" s="27" t="s">
        <v>337</v>
      </c>
      <c r="C316" s="27" t="s">
        <v>328</v>
      </c>
      <c r="D316" s="27" t="s">
        <v>22</v>
      </c>
      <c r="E316" s="24">
        <v>1.0</v>
      </c>
    </row>
    <row r="317" ht="15.75" customHeight="1">
      <c r="A317" s="27">
        <v>317.0</v>
      </c>
      <c r="B317" s="27" t="s">
        <v>338</v>
      </c>
      <c r="C317" s="27" t="s">
        <v>328</v>
      </c>
      <c r="D317" s="27" t="s">
        <v>22</v>
      </c>
      <c r="E317" s="24">
        <v>2.0</v>
      </c>
    </row>
    <row r="318" ht="15.75" customHeight="1">
      <c r="A318" s="27">
        <v>318.0</v>
      </c>
      <c r="B318" s="27" t="s">
        <v>339</v>
      </c>
      <c r="C318" s="27" t="s">
        <v>328</v>
      </c>
      <c r="D318" s="27" t="s">
        <v>22</v>
      </c>
    </row>
    <row r="319" ht="15.75" customHeight="1">
      <c r="A319" s="27">
        <v>319.0</v>
      </c>
      <c r="B319" s="27" t="s">
        <v>340</v>
      </c>
      <c r="C319" s="27" t="s">
        <v>328</v>
      </c>
      <c r="D319" s="27" t="s">
        <v>22</v>
      </c>
      <c r="E319" s="29">
        <v>1.0</v>
      </c>
    </row>
    <row r="320" ht="15.75" customHeight="1">
      <c r="A320" s="27">
        <v>320.0</v>
      </c>
      <c r="B320" s="27" t="s">
        <v>341</v>
      </c>
      <c r="C320" s="27" t="s">
        <v>328</v>
      </c>
      <c r="D320" s="27" t="s">
        <v>22</v>
      </c>
      <c r="E320" s="24">
        <v>1.0</v>
      </c>
    </row>
    <row r="321" ht="15.75" customHeight="1">
      <c r="A321" s="27">
        <v>321.0</v>
      </c>
      <c r="B321" s="27" t="s">
        <v>342</v>
      </c>
      <c r="C321" s="27" t="s">
        <v>328</v>
      </c>
      <c r="D321" s="27" t="s">
        <v>22</v>
      </c>
      <c r="E321" s="28">
        <v>2.0</v>
      </c>
    </row>
    <row r="322" ht="15.75" customHeight="1">
      <c r="A322" s="27">
        <v>322.0</v>
      </c>
      <c r="B322" s="27" t="s">
        <v>343</v>
      </c>
      <c r="C322" s="27" t="s">
        <v>328</v>
      </c>
      <c r="D322" s="27" t="s">
        <v>22</v>
      </c>
      <c r="E322" s="24">
        <v>1.0</v>
      </c>
    </row>
    <row r="323" ht="15.75" customHeight="1">
      <c r="A323" s="27">
        <v>323.0</v>
      </c>
      <c r="B323" s="27" t="s">
        <v>344</v>
      </c>
      <c r="C323" s="27" t="s">
        <v>328</v>
      </c>
      <c r="D323" s="27" t="s">
        <v>22</v>
      </c>
      <c r="E323" s="24">
        <v>2.0</v>
      </c>
    </row>
    <row r="324" ht="15.75" customHeight="1">
      <c r="A324" s="27">
        <v>324.0</v>
      </c>
      <c r="B324" s="27" t="s">
        <v>345</v>
      </c>
      <c r="C324" s="27" t="s">
        <v>328</v>
      </c>
      <c r="D324" s="27" t="s">
        <v>22</v>
      </c>
      <c r="E324" s="29">
        <v>1.0</v>
      </c>
    </row>
    <row r="325" ht="15.75" customHeight="1">
      <c r="A325" s="27">
        <v>325.0</v>
      </c>
      <c r="B325" s="27" t="s">
        <v>20</v>
      </c>
      <c r="C325" s="27" t="s">
        <v>346</v>
      </c>
      <c r="D325" s="27" t="s">
        <v>22</v>
      </c>
      <c r="E325" s="28">
        <v>2.0</v>
      </c>
    </row>
    <row r="326" ht="15.75" customHeight="1">
      <c r="A326" s="27">
        <v>326.0</v>
      </c>
      <c r="B326" s="27" t="s">
        <v>347</v>
      </c>
      <c r="C326" s="27" t="s">
        <v>346</v>
      </c>
      <c r="D326" s="27" t="s">
        <v>22</v>
      </c>
      <c r="E326" s="24">
        <v>1.0</v>
      </c>
    </row>
    <row r="327" ht="15.75" customHeight="1">
      <c r="A327" s="27">
        <v>327.0</v>
      </c>
      <c r="B327" s="27" t="s">
        <v>348</v>
      </c>
      <c r="C327" s="27" t="s">
        <v>346</v>
      </c>
      <c r="D327" s="27" t="s">
        <v>22</v>
      </c>
      <c r="E327" s="24">
        <v>1.0</v>
      </c>
    </row>
    <row r="328" ht="15.75" customHeight="1">
      <c r="A328" s="27">
        <v>328.0</v>
      </c>
      <c r="B328" s="27" t="s">
        <v>349</v>
      </c>
      <c r="C328" s="27" t="s">
        <v>346</v>
      </c>
      <c r="D328" s="27" t="s">
        <v>22</v>
      </c>
      <c r="E328" s="28">
        <v>1.0</v>
      </c>
    </row>
    <row r="329" ht="15.75" customHeight="1">
      <c r="A329" s="27">
        <v>329.0</v>
      </c>
      <c r="B329" s="27" t="s">
        <v>350</v>
      </c>
      <c r="C329" s="27" t="s">
        <v>346</v>
      </c>
      <c r="D329" s="27" t="s">
        <v>22</v>
      </c>
      <c r="E329" s="24">
        <v>2.0</v>
      </c>
    </row>
    <row r="330" ht="15.75" customHeight="1">
      <c r="A330" s="27">
        <v>330.0</v>
      </c>
      <c r="B330" s="27" t="s">
        <v>351</v>
      </c>
      <c r="C330" s="27" t="s">
        <v>346</v>
      </c>
      <c r="D330" s="27" t="s">
        <v>22</v>
      </c>
      <c r="E330" s="24">
        <v>1.0</v>
      </c>
    </row>
    <row r="331" ht="15.75" customHeight="1">
      <c r="A331" s="27">
        <v>331.0</v>
      </c>
      <c r="B331" s="27" t="s">
        <v>352</v>
      </c>
      <c r="C331" s="27" t="s">
        <v>346</v>
      </c>
      <c r="D331" s="27" t="s">
        <v>22</v>
      </c>
      <c r="E331" s="24">
        <v>1.0</v>
      </c>
    </row>
    <row r="332" ht="15.75" customHeight="1">
      <c r="A332" s="27">
        <v>332.0</v>
      </c>
      <c r="B332" s="27" t="s">
        <v>353</v>
      </c>
      <c r="C332" s="27" t="s">
        <v>346</v>
      </c>
      <c r="D332" s="27" t="s">
        <v>22</v>
      </c>
      <c r="E332" s="28">
        <v>2.0</v>
      </c>
    </row>
    <row r="333" ht="15.75" customHeight="1">
      <c r="A333" s="27">
        <v>333.0</v>
      </c>
      <c r="B333" s="27" t="s">
        <v>354</v>
      </c>
      <c r="C333" s="27" t="s">
        <v>346</v>
      </c>
      <c r="D333" s="27" t="s">
        <v>22</v>
      </c>
      <c r="E333" s="24">
        <v>1.0</v>
      </c>
    </row>
    <row r="334" ht="15.75" customHeight="1">
      <c r="A334" s="27">
        <v>334.0</v>
      </c>
      <c r="B334" s="27" t="s">
        <v>355</v>
      </c>
      <c r="C334" s="27" t="s">
        <v>346</v>
      </c>
      <c r="D334" s="27" t="s">
        <v>22</v>
      </c>
      <c r="E334" s="24">
        <v>1.0</v>
      </c>
    </row>
    <row r="335" ht="15.75" customHeight="1">
      <c r="A335" s="27">
        <v>335.0</v>
      </c>
      <c r="B335" s="27" t="s">
        <v>356</v>
      </c>
      <c r="C335" s="27" t="s">
        <v>346</v>
      </c>
      <c r="D335" s="27" t="s">
        <v>22</v>
      </c>
      <c r="E335" s="24">
        <v>1.0</v>
      </c>
    </row>
    <row r="336" ht="15.75" customHeight="1">
      <c r="A336" s="27">
        <v>336.0</v>
      </c>
      <c r="B336" s="27" t="s">
        <v>357</v>
      </c>
      <c r="C336" s="27" t="s">
        <v>346</v>
      </c>
      <c r="D336" s="27" t="s">
        <v>22</v>
      </c>
    </row>
    <row r="337" ht="15.75" customHeight="1">
      <c r="A337" s="27">
        <v>337.0</v>
      </c>
      <c r="B337" s="27" t="s">
        <v>358</v>
      </c>
      <c r="C337" s="27" t="s">
        <v>346</v>
      </c>
      <c r="D337" s="27" t="s">
        <v>22</v>
      </c>
      <c r="E337" s="24">
        <v>1.0</v>
      </c>
    </row>
    <row r="338" ht="15.75" customHeight="1">
      <c r="A338" s="27">
        <v>338.0</v>
      </c>
      <c r="B338" s="27" t="s">
        <v>359</v>
      </c>
      <c r="C338" s="27" t="s">
        <v>346</v>
      </c>
      <c r="D338" s="27" t="s">
        <v>22</v>
      </c>
      <c r="E338" s="24">
        <v>1.0</v>
      </c>
    </row>
    <row r="339" ht="15.75" customHeight="1">
      <c r="A339" s="27">
        <v>339.0</v>
      </c>
      <c r="B339" s="27" t="s">
        <v>360</v>
      </c>
      <c r="C339" s="27" t="s">
        <v>346</v>
      </c>
      <c r="D339" s="27" t="s">
        <v>22</v>
      </c>
      <c r="E339" s="24">
        <v>1.0</v>
      </c>
    </row>
    <row r="340" ht="15.75" customHeight="1">
      <c r="A340" s="27">
        <v>340.0</v>
      </c>
      <c r="B340" s="27" t="s">
        <v>361</v>
      </c>
      <c r="C340" s="27" t="s">
        <v>346</v>
      </c>
      <c r="D340" s="27" t="s">
        <v>22</v>
      </c>
    </row>
    <row r="341" ht="15.75" customHeight="1">
      <c r="A341" s="27">
        <v>341.0</v>
      </c>
      <c r="B341" s="27" t="s">
        <v>362</v>
      </c>
      <c r="C341" s="27" t="s">
        <v>346</v>
      </c>
      <c r="D341" s="27" t="s">
        <v>22</v>
      </c>
    </row>
    <row r="342" ht="15.75" customHeight="1">
      <c r="A342" s="27">
        <v>342.0</v>
      </c>
      <c r="B342" s="27" t="s">
        <v>363</v>
      </c>
      <c r="C342" s="27" t="s">
        <v>346</v>
      </c>
      <c r="D342" s="27" t="s">
        <v>22</v>
      </c>
    </row>
    <row r="343" ht="15.75" customHeight="1">
      <c r="A343" s="27">
        <v>343.0</v>
      </c>
      <c r="B343" s="27" t="s">
        <v>20</v>
      </c>
      <c r="C343" s="27" t="s">
        <v>364</v>
      </c>
      <c r="D343" s="27" t="s">
        <v>22</v>
      </c>
      <c r="E343" s="28">
        <v>2.0</v>
      </c>
    </row>
    <row r="344" ht="15.75" customHeight="1">
      <c r="A344" s="27">
        <v>344.0</v>
      </c>
      <c r="B344" s="27" t="s">
        <v>365</v>
      </c>
      <c r="C344" s="27" t="s">
        <v>364</v>
      </c>
      <c r="D344" s="27" t="s">
        <v>22</v>
      </c>
      <c r="E344" s="24">
        <v>1.0</v>
      </c>
    </row>
    <row r="345" ht="15.75" customHeight="1">
      <c r="A345" s="27">
        <v>345.0</v>
      </c>
      <c r="B345" s="27" t="s">
        <v>366</v>
      </c>
      <c r="C345" s="27" t="s">
        <v>364</v>
      </c>
      <c r="D345" s="27" t="s">
        <v>22</v>
      </c>
    </row>
    <row r="346" ht="15.75" customHeight="1">
      <c r="A346" s="27">
        <v>346.0</v>
      </c>
      <c r="B346" s="27" t="s">
        <v>367</v>
      </c>
      <c r="C346" s="27" t="s">
        <v>364</v>
      </c>
      <c r="D346" s="27" t="s">
        <v>22</v>
      </c>
    </row>
    <row r="347" ht="15.75" customHeight="1">
      <c r="A347" s="27">
        <v>347.0</v>
      </c>
      <c r="B347" s="27" t="s">
        <v>368</v>
      </c>
      <c r="C347" s="27" t="s">
        <v>364</v>
      </c>
      <c r="D347" s="27" t="s">
        <v>22</v>
      </c>
    </row>
    <row r="348" ht="15.75" customHeight="1">
      <c r="A348" s="27">
        <v>348.0</v>
      </c>
      <c r="B348" s="27" t="s">
        <v>369</v>
      </c>
      <c r="C348" s="27" t="s">
        <v>364</v>
      </c>
      <c r="D348" s="27" t="s">
        <v>22</v>
      </c>
      <c r="E348" s="24">
        <v>1.0</v>
      </c>
    </row>
    <row r="349" ht="15.75" customHeight="1">
      <c r="A349" s="27">
        <v>349.0</v>
      </c>
      <c r="B349" s="27" t="s">
        <v>370</v>
      </c>
      <c r="C349" s="27" t="s">
        <v>364</v>
      </c>
      <c r="D349" s="27" t="s">
        <v>22</v>
      </c>
      <c r="F349" s="24"/>
    </row>
    <row r="350" ht="15.75" customHeight="1">
      <c r="A350" s="27">
        <v>350.0</v>
      </c>
      <c r="B350" s="27" t="s">
        <v>371</v>
      </c>
      <c r="C350" s="27" t="s">
        <v>364</v>
      </c>
      <c r="D350" s="27" t="s">
        <v>22</v>
      </c>
      <c r="E350" s="28">
        <v>2.0</v>
      </c>
    </row>
    <row r="351" ht="15.75" customHeight="1">
      <c r="A351" s="27">
        <v>351.0</v>
      </c>
      <c r="B351" s="27" t="s">
        <v>372</v>
      </c>
      <c r="C351" s="27" t="s">
        <v>364</v>
      </c>
      <c r="D351" s="27" t="s">
        <v>22</v>
      </c>
      <c r="E351" s="24">
        <v>1.0</v>
      </c>
    </row>
    <row r="352" ht="15.75" customHeight="1">
      <c r="A352" s="27">
        <v>352.0</v>
      </c>
      <c r="B352" s="27" t="s">
        <v>373</v>
      </c>
      <c r="C352" s="27" t="s">
        <v>364</v>
      </c>
      <c r="D352" s="27" t="s">
        <v>22</v>
      </c>
      <c r="E352" s="24">
        <v>1.0</v>
      </c>
    </row>
    <row r="353" ht="15.75" customHeight="1">
      <c r="A353" s="27">
        <v>353.0</v>
      </c>
      <c r="B353" s="27" t="s">
        <v>374</v>
      </c>
      <c r="C353" s="27" t="s">
        <v>364</v>
      </c>
      <c r="D353" s="27" t="s">
        <v>22</v>
      </c>
      <c r="E353" s="29">
        <v>1.0</v>
      </c>
    </row>
    <row r="354" ht="15.75" customHeight="1">
      <c r="A354" s="27">
        <v>354.0</v>
      </c>
      <c r="B354" s="27" t="s">
        <v>375</v>
      </c>
      <c r="C354" s="27" t="s">
        <v>364</v>
      </c>
      <c r="D354" s="27" t="s">
        <v>22</v>
      </c>
      <c r="E354" s="24">
        <v>1.0</v>
      </c>
    </row>
    <row r="355" ht="15.75" customHeight="1">
      <c r="A355" s="27">
        <v>355.0</v>
      </c>
      <c r="B355" s="27" t="s">
        <v>376</v>
      </c>
      <c r="C355" s="27" t="s">
        <v>364</v>
      </c>
      <c r="D355" s="27" t="s">
        <v>22</v>
      </c>
      <c r="E355" s="28">
        <v>2.0</v>
      </c>
    </row>
    <row r="356" ht="15.75" customHeight="1">
      <c r="A356" s="27">
        <v>356.0</v>
      </c>
      <c r="B356" s="27" t="s">
        <v>377</v>
      </c>
      <c r="C356" s="27" t="s">
        <v>364</v>
      </c>
      <c r="D356" s="27" t="s">
        <v>22</v>
      </c>
      <c r="E356" s="24">
        <v>1.0</v>
      </c>
    </row>
    <row r="357" ht="15.75" customHeight="1">
      <c r="A357" s="27">
        <v>357.0</v>
      </c>
      <c r="B357" s="27" t="s">
        <v>378</v>
      </c>
      <c r="C357" s="27" t="s">
        <v>364</v>
      </c>
      <c r="D357" s="27" t="s">
        <v>22</v>
      </c>
    </row>
    <row r="358" ht="15.75" customHeight="1">
      <c r="A358" s="27">
        <v>358.0</v>
      </c>
      <c r="B358" s="27" t="s">
        <v>379</v>
      </c>
      <c r="C358" s="27" t="s">
        <v>364</v>
      </c>
      <c r="D358" s="27" t="s">
        <v>22</v>
      </c>
      <c r="E358" s="29">
        <v>1.0</v>
      </c>
    </row>
    <row r="359" ht="15.75" customHeight="1">
      <c r="A359" s="27">
        <v>359.0</v>
      </c>
      <c r="B359" s="27" t="s">
        <v>380</v>
      </c>
      <c r="C359" s="27" t="s">
        <v>364</v>
      </c>
      <c r="D359" s="27" t="s">
        <v>22</v>
      </c>
    </row>
    <row r="360" ht="15.75" customHeight="1">
      <c r="A360" s="27">
        <v>360.0</v>
      </c>
      <c r="B360" s="27" t="s">
        <v>381</v>
      </c>
      <c r="C360" s="27" t="s">
        <v>364</v>
      </c>
      <c r="D360" s="27" t="s">
        <v>22</v>
      </c>
      <c r="E360" s="29">
        <v>1.0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>
      <c r="E510" s="27" t="s">
        <v>22</v>
      </c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360 E510">
    <cfRule type="expression" dxfId="0" priority="1">
      <formula>$D1="SI"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63"/>
    <col customWidth="1" min="3" max="3" width="17.75"/>
    <col customWidth="1" min="4" max="6" width="12.63"/>
  </cols>
  <sheetData>
    <row r="1" ht="15.75" customHeight="1">
      <c r="A1" s="27">
        <v>1.0</v>
      </c>
      <c r="B1" s="27" t="s">
        <v>382</v>
      </c>
      <c r="C1" s="27" t="s">
        <v>21</v>
      </c>
      <c r="D1" s="27" t="s">
        <v>22</v>
      </c>
      <c r="E1" s="24">
        <v>2.0</v>
      </c>
    </row>
    <row r="2" ht="15.75" customHeight="1">
      <c r="A2" s="27">
        <v>19.0</v>
      </c>
      <c r="B2" s="27" t="s">
        <v>382</v>
      </c>
      <c r="C2" s="27" t="s">
        <v>40</v>
      </c>
      <c r="D2" s="27" t="s">
        <v>22</v>
      </c>
      <c r="E2" s="24">
        <v>2.0</v>
      </c>
    </row>
    <row r="3" ht="15.75" customHeight="1">
      <c r="A3" s="27">
        <v>37.0</v>
      </c>
      <c r="B3" s="27" t="s">
        <v>382</v>
      </c>
      <c r="C3" s="27" t="s">
        <v>58</v>
      </c>
      <c r="D3" s="27" t="s">
        <v>22</v>
      </c>
      <c r="E3" s="24">
        <v>1.0</v>
      </c>
    </row>
    <row r="4" ht="15.75" customHeight="1">
      <c r="A4" s="27">
        <v>55.0</v>
      </c>
      <c r="B4" s="27" t="s">
        <v>382</v>
      </c>
      <c r="C4" s="27" t="s">
        <v>76</v>
      </c>
      <c r="D4" s="27" t="s">
        <v>22</v>
      </c>
      <c r="E4" s="24">
        <v>1.0</v>
      </c>
    </row>
    <row r="5" ht="15.75" customHeight="1">
      <c r="A5" s="27">
        <v>73.0</v>
      </c>
      <c r="B5" s="27" t="s">
        <v>382</v>
      </c>
      <c r="C5" s="27" t="s">
        <v>94</v>
      </c>
      <c r="D5" s="27" t="s">
        <v>22</v>
      </c>
      <c r="E5" s="24">
        <v>1.0</v>
      </c>
    </row>
    <row r="6" ht="15.75" customHeight="1">
      <c r="A6" s="27">
        <v>91.0</v>
      </c>
      <c r="B6" s="27" t="s">
        <v>382</v>
      </c>
      <c r="C6" s="27" t="s">
        <v>112</v>
      </c>
      <c r="D6" s="27" t="s">
        <v>22</v>
      </c>
    </row>
    <row r="7" ht="15.75" customHeight="1">
      <c r="A7" s="27">
        <v>109.0</v>
      </c>
      <c r="B7" s="27" t="s">
        <v>382</v>
      </c>
      <c r="C7" s="27" t="s">
        <v>130</v>
      </c>
      <c r="D7" s="27" t="s">
        <v>22</v>
      </c>
      <c r="E7" s="24">
        <v>1.0</v>
      </c>
    </row>
    <row r="8" ht="15.75" customHeight="1">
      <c r="A8" s="27">
        <v>127.0</v>
      </c>
      <c r="B8" s="27" t="s">
        <v>382</v>
      </c>
      <c r="C8" s="27" t="s">
        <v>148</v>
      </c>
      <c r="D8" s="27" t="s">
        <v>22</v>
      </c>
      <c r="E8" s="29">
        <v>1.0</v>
      </c>
    </row>
    <row r="9" ht="15.75" customHeight="1">
      <c r="A9" s="27">
        <v>145.0</v>
      </c>
      <c r="B9" s="27" t="s">
        <v>382</v>
      </c>
      <c r="C9" s="27" t="s">
        <v>166</v>
      </c>
      <c r="D9" s="27" t="s">
        <v>22</v>
      </c>
      <c r="E9" s="24">
        <v>1.0</v>
      </c>
    </row>
    <row r="10" ht="15.75" customHeight="1">
      <c r="A10" s="27">
        <v>163.0</v>
      </c>
      <c r="B10" s="27" t="s">
        <v>382</v>
      </c>
      <c r="C10" s="27" t="s">
        <v>184</v>
      </c>
      <c r="D10" s="27" t="s">
        <v>22</v>
      </c>
      <c r="E10" s="24"/>
    </row>
    <row r="11" ht="15.75" customHeight="1">
      <c r="A11" s="27">
        <v>181.0</v>
      </c>
      <c r="B11" s="27" t="s">
        <v>382</v>
      </c>
      <c r="C11" s="27" t="s">
        <v>202</v>
      </c>
      <c r="D11" s="27" t="s">
        <v>22</v>
      </c>
    </row>
    <row r="12" ht="15.75" customHeight="1">
      <c r="A12" s="27">
        <v>199.0</v>
      </c>
      <c r="B12" s="27" t="s">
        <v>382</v>
      </c>
      <c r="C12" s="27" t="s">
        <v>220</v>
      </c>
      <c r="D12" s="27" t="s">
        <v>22</v>
      </c>
      <c r="E12" s="24">
        <v>2.0</v>
      </c>
    </row>
    <row r="13" ht="15.75" customHeight="1">
      <c r="A13" s="27">
        <v>217.0</v>
      </c>
      <c r="B13" s="27" t="s">
        <v>382</v>
      </c>
      <c r="C13" s="27" t="s">
        <v>238</v>
      </c>
      <c r="D13" s="27" t="s">
        <v>22</v>
      </c>
      <c r="E13" s="24">
        <v>1.0</v>
      </c>
    </row>
    <row r="14" ht="15.75" customHeight="1">
      <c r="A14" s="27">
        <v>235.0</v>
      </c>
      <c r="B14" s="27" t="s">
        <v>382</v>
      </c>
      <c r="C14" s="27" t="s">
        <v>256</v>
      </c>
      <c r="D14" s="27" t="s">
        <v>22</v>
      </c>
      <c r="E14" s="28">
        <v>3.0</v>
      </c>
    </row>
    <row r="15" ht="15.75" customHeight="1">
      <c r="A15" s="27">
        <v>253.0</v>
      </c>
      <c r="B15" s="27" t="s">
        <v>382</v>
      </c>
      <c r="C15" s="27" t="s">
        <v>274</v>
      </c>
      <c r="D15" s="27" t="s">
        <v>22</v>
      </c>
      <c r="E15" s="24">
        <v>1.0</v>
      </c>
    </row>
    <row r="16" ht="15.75" customHeight="1">
      <c r="A16" s="27">
        <v>271.0</v>
      </c>
      <c r="B16" s="27" t="s">
        <v>382</v>
      </c>
      <c r="C16" s="27" t="s">
        <v>292</v>
      </c>
      <c r="D16" s="27" t="s">
        <v>22</v>
      </c>
      <c r="E16" s="24">
        <v>2.0</v>
      </c>
    </row>
    <row r="17" ht="15.75" customHeight="1">
      <c r="A17" s="27">
        <v>289.0</v>
      </c>
      <c r="B17" s="27" t="s">
        <v>382</v>
      </c>
      <c r="C17" s="27" t="s">
        <v>310</v>
      </c>
      <c r="D17" s="27" t="s">
        <v>22</v>
      </c>
    </row>
    <row r="18" ht="15.75" customHeight="1">
      <c r="A18" s="27">
        <v>307.0</v>
      </c>
      <c r="B18" s="27" t="s">
        <v>382</v>
      </c>
      <c r="C18" s="27" t="s">
        <v>328</v>
      </c>
      <c r="D18" s="27" t="s">
        <v>22</v>
      </c>
      <c r="E18" s="29">
        <v>2.0</v>
      </c>
    </row>
    <row r="19" ht="15.75" customHeight="1">
      <c r="A19" s="27">
        <v>325.0</v>
      </c>
      <c r="B19" s="27" t="s">
        <v>382</v>
      </c>
      <c r="C19" s="27" t="s">
        <v>346</v>
      </c>
      <c r="D19" s="27" t="s">
        <v>22</v>
      </c>
      <c r="E19" s="28">
        <v>2.0</v>
      </c>
    </row>
    <row r="20" ht="15.75" customHeight="1">
      <c r="A20" s="27">
        <v>343.0</v>
      </c>
      <c r="B20" s="27" t="s">
        <v>382</v>
      </c>
      <c r="C20" s="27" t="s">
        <v>364</v>
      </c>
      <c r="D20" s="27" t="s">
        <v>22</v>
      </c>
      <c r="E20" s="24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0">
    <cfRule type="expression" dxfId="0" priority="1">
      <formula>$D1="SI"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6" width="12.63"/>
  </cols>
  <sheetData>
    <row r="1" ht="15.75" customHeight="1">
      <c r="A1" s="27">
        <v>361.0</v>
      </c>
      <c r="B1" s="27" t="s">
        <v>21</v>
      </c>
      <c r="C1" s="27" t="s">
        <v>383</v>
      </c>
      <c r="D1" s="27" t="s">
        <v>22</v>
      </c>
      <c r="E1" s="28">
        <v>3.0</v>
      </c>
    </row>
    <row r="2" ht="15.75" customHeight="1">
      <c r="A2" s="27">
        <v>362.0</v>
      </c>
      <c r="B2" s="27" t="s">
        <v>40</v>
      </c>
      <c r="C2" s="27" t="s">
        <v>383</v>
      </c>
      <c r="D2" s="27" t="s">
        <v>22</v>
      </c>
    </row>
    <row r="3" ht="15.75" customHeight="1">
      <c r="A3" s="27">
        <v>363.0</v>
      </c>
      <c r="B3" s="27" t="s">
        <v>58</v>
      </c>
      <c r="C3" s="27" t="s">
        <v>383</v>
      </c>
      <c r="D3" s="27" t="s">
        <v>22</v>
      </c>
      <c r="E3" s="24">
        <v>1.0</v>
      </c>
    </row>
    <row r="4" ht="15.75" customHeight="1">
      <c r="A4" s="27">
        <v>364.0</v>
      </c>
      <c r="B4" s="27" t="s">
        <v>76</v>
      </c>
      <c r="C4" s="27" t="s">
        <v>383</v>
      </c>
      <c r="D4" s="27" t="s">
        <v>22</v>
      </c>
    </row>
    <row r="5" ht="15.75" customHeight="1">
      <c r="A5" s="27">
        <v>365.0</v>
      </c>
      <c r="B5" s="27" t="s">
        <v>94</v>
      </c>
      <c r="C5" s="27" t="s">
        <v>383</v>
      </c>
      <c r="D5" s="27" t="s">
        <v>22</v>
      </c>
    </row>
    <row r="6" ht="15.75" customHeight="1">
      <c r="A6" s="27">
        <v>366.0</v>
      </c>
      <c r="B6" s="27" t="s">
        <v>112</v>
      </c>
      <c r="C6" s="27" t="s">
        <v>383</v>
      </c>
      <c r="D6" s="27" t="s">
        <v>22</v>
      </c>
      <c r="E6" s="24">
        <v>1.0</v>
      </c>
    </row>
    <row r="7" ht="15.75" customHeight="1">
      <c r="A7" s="27">
        <v>367.0</v>
      </c>
      <c r="B7" s="27" t="s">
        <v>130</v>
      </c>
      <c r="C7" s="27" t="s">
        <v>383</v>
      </c>
      <c r="D7" s="27" t="s">
        <v>22</v>
      </c>
      <c r="E7" s="24"/>
    </row>
    <row r="8" ht="15.75" customHeight="1">
      <c r="A8" s="27">
        <v>368.0</v>
      </c>
      <c r="B8" s="27" t="s">
        <v>148</v>
      </c>
      <c r="C8" s="27" t="s">
        <v>383</v>
      </c>
      <c r="D8" s="27" t="s">
        <v>22</v>
      </c>
    </row>
    <row r="9" ht="15.75" customHeight="1">
      <c r="A9" s="27">
        <v>369.0</v>
      </c>
      <c r="B9" s="27" t="s">
        <v>166</v>
      </c>
      <c r="C9" s="27" t="s">
        <v>383</v>
      </c>
      <c r="D9" s="27" t="s">
        <v>22</v>
      </c>
      <c r="E9" s="24">
        <v>1.0</v>
      </c>
    </row>
    <row r="10" ht="15.75" customHeight="1">
      <c r="A10" s="27">
        <v>370.0</v>
      </c>
      <c r="B10" s="27" t="s">
        <v>184</v>
      </c>
      <c r="C10" s="27" t="s">
        <v>383</v>
      </c>
      <c r="D10" s="27" t="s">
        <v>22</v>
      </c>
    </row>
    <row r="11" ht="15.75" customHeight="1">
      <c r="A11" s="27">
        <v>371.0</v>
      </c>
      <c r="B11" s="27" t="s">
        <v>202</v>
      </c>
      <c r="C11" s="27" t="s">
        <v>383</v>
      </c>
      <c r="D11" s="27" t="s">
        <v>22</v>
      </c>
      <c r="E11" s="24">
        <v>2.0</v>
      </c>
    </row>
    <row r="12" ht="15.75" customHeight="1">
      <c r="A12" s="27">
        <v>372.0</v>
      </c>
      <c r="B12" s="27" t="s">
        <v>220</v>
      </c>
      <c r="C12" s="27" t="s">
        <v>383</v>
      </c>
      <c r="D12" s="27" t="s">
        <v>22</v>
      </c>
      <c r="E12" s="24">
        <v>1.0</v>
      </c>
    </row>
    <row r="13" ht="15.75" customHeight="1">
      <c r="A13" s="27">
        <v>373.0</v>
      </c>
      <c r="B13" s="27" t="s">
        <v>238</v>
      </c>
      <c r="C13" s="27" t="s">
        <v>383</v>
      </c>
      <c r="D13" s="27" t="s">
        <v>22</v>
      </c>
    </row>
    <row r="14" ht="15.75" customHeight="1">
      <c r="A14" s="27">
        <v>374.0</v>
      </c>
      <c r="B14" s="27" t="s">
        <v>256</v>
      </c>
      <c r="C14" s="27" t="s">
        <v>383</v>
      </c>
      <c r="D14" s="27" t="s">
        <v>22</v>
      </c>
    </row>
    <row r="15" ht="15.75" customHeight="1">
      <c r="A15" s="27">
        <v>375.0</v>
      </c>
      <c r="B15" s="27" t="s">
        <v>274</v>
      </c>
      <c r="C15" s="27" t="s">
        <v>383</v>
      </c>
      <c r="D15" s="27" t="s">
        <v>22</v>
      </c>
    </row>
    <row r="16" ht="15.75" customHeight="1">
      <c r="A16" s="27">
        <v>376.0</v>
      </c>
      <c r="B16" s="27" t="s">
        <v>292</v>
      </c>
      <c r="C16" s="27" t="s">
        <v>383</v>
      </c>
      <c r="D16" s="27" t="s">
        <v>22</v>
      </c>
      <c r="E16" s="24">
        <v>1.0</v>
      </c>
    </row>
    <row r="17" ht="15.75" customHeight="1">
      <c r="A17" s="27">
        <v>377.0</v>
      </c>
      <c r="B17" s="27" t="s">
        <v>310</v>
      </c>
      <c r="C17" s="27" t="s">
        <v>383</v>
      </c>
      <c r="D17" s="27" t="s">
        <v>22</v>
      </c>
      <c r="E17" s="29">
        <v>1.0</v>
      </c>
    </row>
    <row r="18" ht="15.75" customHeight="1">
      <c r="A18" s="27">
        <v>378.0</v>
      </c>
      <c r="B18" s="27" t="s">
        <v>328</v>
      </c>
      <c r="C18" s="27" t="s">
        <v>383</v>
      </c>
      <c r="D18" s="27" t="s">
        <v>22</v>
      </c>
      <c r="E18" s="29">
        <v>1.0</v>
      </c>
      <c r="F18" s="24"/>
    </row>
    <row r="19" ht="15.75" customHeight="1">
      <c r="A19" s="27">
        <v>379.0</v>
      </c>
      <c r="B19" s="27" t="s">
        <v>346</v>
      </c>
      <c r="C19" s="27" t="s">
        <v>383</v>
      </c>
      <c r="D19" s="27" t="s">
        <v>22</v>
      </c>
    </row>
    <row r="20" ht="15.75" customHeight="1">
      <c r="A20" s="27">
        <v>380.0</v>
      </c>
      <c r="B20" s="27" t="s">
        <v>364</v>
      </c>
      <c r="C20" s="27" t="s">
        <v>383</v>
      </c>
      <c r="D20" s="27"/>
    </row>
    <row r="21" ht="15.75" customHeight="1">
      <c r="A21" s="27"/>
      <c r="B21" s="27"/>
      <c r="C21" s="27"/>
      <c r="D21" s="27"/>
    </row>
    <row r="22" ht="15.75" customHeight="1">
      <c r="A22" s="27"/>
      <c r="B22" s="27"/>
      <c r="C22" s="27"/>
      <c r="D22" s="27"/>
    </row>
    <row r="23" ht="15.75" customHeight="1">
      <c r="A23" s="27"/>
      <c r="B23" s="27"/>
      <c r="C23" s="27"/>
      <c r="D23" s="27"/>
    </row>
    <row r="24" ht="15.75" customHeight="1">
      <c r="A24" s="27"/>
      <c r="B24" s="27"/>
      <c r="C24" s="27"/>
      <c r="D24" s="27"/>
    </row>
    <row r="25" ht="15.75" customHeight="1">
      <c r="A25" s="27"/>
      <c r="B25" s="27"/>
      <c r="C25" s="27"/>
      <c r="D25" s="27"/>
    </row>
    <row r="26" ht="15.75" customHeight="1">
      <c r="A26" s="27"/>
      <c r="B26" s="27"/>
      <c r="C26" s="27"/>
      <c r="D26" s="27"/>
    </row>
    <row r="27" ht="15.75" customHeight="1">
      <c r="A27" s="27"/>
      <c r="B27" s="27"/>
      <c r="C27" s="27"/>
      <c r="D27" s="27"/>
    </row>
    <row r="28" ht="15.75" customHeight="1">
      <c r="A28" s="27"/>
      <c r="B28" s="27"/>
      <c r="C28" s="27"/>
      <c r="D28" s="27"/>
    </row>
    <row r="29" ht="15.75" customHeight="1">
      <c r="A29" s="27"/>
      <c r="B29" s="27"/>
      <c r="C29" s="27"/>
      <c r="D29" s="27"/>
    </row>
    <row r="30" ht="15.75" customHeight="1">
      <c r="A30" s="27"/>
      <c r="B30" s="27"/>
      <c r="C30" s="27"/>
      <c r="D30" s="27"/>
    </row>
    <row r="31" ht="15.75" customHeight="1">
      <c r="A31" s="27"/>
      <c r="B31" s="27"/>
      <c r="C31" s="27"/>
      <c r="D31" s="27"/>
    </row>
    <row r="32" ht="15.75" customHeight="1">
      <c r="A32" s="27"/>
      <c r="B32" s="27"/>
      <c r="C32" s="27"/>
      <c r="D32" s="27"/>
    </row>
    <row r="33" ht="15.75" customHeight="1">
      <c r="A33" s="27"/>
      <c r="B33" s="27"/>
      <c r="C33" s="27"/>
      <c r="D33" s="27"/>
    </row>
    <row r="34" ht="15.75" customHeight="1">
      <c r="A34" s="27"/>
      <c r="B34" s="27"/>
      <c r="C34" s="27"/>
      <c r="D34" s="27"/>
    </row>
    <row r="35" ht="15.75" customHeight="1">
      <c r="A35" s="27"/>
      <c r="B35" s="27"/>
      <c r="C35" s="27"/>
      <c r="D35" s="27"/>
    </row>
    <row r="36" ht="15.75" customHeight="1">
      <c r="A36" s="27"/>
      <c r="B36" s="27"/>
      <c r="C36" s="27"/>
      <c r="D36" s="27"/>
    </row>
    <row r="37" ht="15.75" customHeight="1">
      <c r="A37" s="27"/>
      <c r="B37" s="27"/>
      <c r="C37" s="27"/>
      <c r="D37" s="27"/>
    </row>
    <row r="38" ht="15.75" customHeight="1">
      <c r="A38" s="27"/>
      <c r="B38" s="27"/>
      <c r="C38" s="27"/>
      <c r="D38" s="27"/>
    </row>
    <row r="39" ht="15.75" customHeight="1">
      <c r="A39" s="27"/>
      <c r="B39" s="27"/>
      <c r="C39" s="27"/>
      <c r="D39" s="27"/>
    </row>
    <row r="40" ht="15.75" customHeight="1">
      <c r="A40" s="27"/>
      <c r="B40" s="27"/>
      <c r="C40" s="27"/>
      <c r="D40" s="27"/>
    </row>
    <row r="41" ht="15.75" customHeight="1">
      <c r="A41" s="27"/>
      <c r="B41" s="27"/>
      <c r="C41" s="27"/>
      <c r="D41" s="27"/>
    </row>
    <row r="42" ht="15.75" customHeight="1">
      <c r="A42" s="27"/>
      <c r="B42" s="27"/>
      <c r="C42" s="27"/>
      <c r="D42" s="27"/>
    </row>
    <row r="43" ht="15.75" customHeight="1">
      <c r="A43" s="27"/>
      <c r="B43" s="27"/>
      <c r="C43" s="27"/>
      <c r="D43" s="27"/>
    </row>
    <row r="44" ht="15.75" customHeight="1">
      <c r="A44" s="27"/>
      <c r="B44" s="27"/>
      <c r="C44" s="27"/>
      <c r="D44" s="27"/>
    </row>
    <row r="45" ht="15.75" customHeight="1">
      <c r="A45" s="27"/>
      <c r="B45" s="27"/>
      <c r="C45" s="27"/>
      <c r="D45" s="27"/>
    </row>
    <row r="46" ht="15.75" customHeight="1">
      <c r="A46" s="27"/>
      <c r="B46" s="27"/>
      <c r="C46" s="27"/>
      <c r="D46" s="27"/>
    </row>
    <row r="47" ht="15.75" customHeight="1">
      <c r="A47" s="27"/>
      <c r="B47" s="27"/>
      <c r="C47" s="27"/>
      <c r="D47" s="27"/>
    </row>
    <row r="48" ht="15.75" customHeight="1">
      <c r="A48" s="27"/>
      <c r="B48" s="27"/>
      <c r="C48" s="27"/>
      <c r="D48" s="27"/>
    </row>
    <row r="49" ht="15.75" customHeight="1">
      <c r="A49" s="27"/>
      <c r="B49" s="27"/>
      <c r="C49" s="27"/>
      <c r="D49" s="27"/>
    </row>
    <row r="50" ht="15.75" customHeight="1">
      <c r="A50" s="27"/>
      <c r="B50" s="27"/>
      <c r="C50" s="27"/>
      <c r="D50" s="27"/>
    </row>
    <row r="51" ht="15.75" customHeight="1">
      <c r="A51" s="27"/>
      <c r="B51" s="27"/>
      <c r="C51" s="27"/>
      <c r="D51" s="27"/>
    </row>
    <row r="52" ht="15.75" customHeight="1">
      <c r="A52" s="27"/>
      <c r="B52" s="27"/>
      <c r="C52" s="27"/>
      <c r="D52" s="27"/>
    </row>
    <row r="53" ht="15.75" customHeight="1">
      <c r="A53" s="27"/>
      <c r="B53" s="27"/>
      <c r="C53" s="27"/>
      <c r="D53" s="27"/>
    </row>
    <row r="54" ht="15.75" customHeight="1">
      <c r="A54" s="27"/>
      <c r="B54" s="27"/>
      <c r="C54" s="27"/>
      <c r="D54" s="27"/>
    </row>
    <row r="55" ht="15.75" customHeight="1">
      <c r="A55" s="27"/>
      <c r="B55" s="27"/>
      <c r="C55" s="27"/>
      <c r="D55" s="27"/>
    </row>
    <row r="56" ht="15.75" customHeight="1">
      <c r="A56" s="27"/>
      <c r="B56" s="27"/>
      <c r="C56" s="27"/>
      <c r="D56" s="27"/>
    </row>
    <row r="57" ht="15.75" customHeight="1">
      <c r="A57" s="27"/>
      <c r="B57" s="27"/>
      <c r="C57" s="27"/>
      <c r="D57" s="27"/>
    </row>
    <row r="58" ht="15.75" customHeight="1">
      <c r="A58" s="27"/>
      <c r="B58" s="27"/>
      <c r="C58" s="27"/>
      <c r="D58" s="27"/>
    </row>
    <row r="59" ht="15.75" customHeight="1">
      <c r="A59" s="27"/>
      <c r="B59" s="27"/>
      <c r="C59" s="27"/>
      <c r="D59" s="27"/>
    </row>
    <row r="60" ht="15.75" customHeight="1">
      <c r="A60" s="27"/>
      <c r="B60" s="27"/>
      <c r="C60" s="27"/>
      <c r="D60" s="27"/>
    </row>
    <row r="61" ht="15.75" customHeight="1">
      <c r="A61" s="27"/>
      <c r="B61" s="27"/>
      <c r="C61" s="27"/>
      <c r="D61" s="27"/>
    </row>
    <row r="62" ht="15.75" customHeight="1">
      <c r="A62" s="27"/>
      <c r="B62" s="27"/>
      <c r="C62" s="27"/>
      <c r="D62" s="27"/>
    </row>
    <row r="63" ht="15.75" customHeight="1">
      <c r="A63" s="27"/>
      <c r="B63" s="27"/>
      <c r="C63" s="27"/>
      <c r="D63" s="27"/>
    </row>
    <row r="64" ht="15.75" customHeight="1">
      <c r="A64" s="27"/>
      <c r="B64" s="27"/>
      <c r="C64" s="27"/>
      <c r="D64" s="27"/>
    </row>
    <row r="65" ht="15.75" customHeight="1">
      <c r="A65" s="27"/>
      <c r="B65" s="27"/>
      <c r="C65" s="27"/>
      <c r="D65" s="27"/>
    </row>
    <row r="66" ht="15.75" customHeight="1">
      <c r="A66" s="27"/>
      <c r="B66" s="27"/>
      <c r="C66" s="27"/>
      <c r="D66" s="27"/>
    </row>
    <row r="67" ht="15.75" customHeight="1">
      <c r="A67" s="27"/>
      <c r="B67" s="27"/>
      <c r="C67" s="27"/>
      <c r="D67" s="27"/>
    </row>
    <row r="68" ht="15.75" customHeight="1">
      <c r="A68" s="27"/>
      <c r="B68" s="27"/>
      <c r="C68" s="27"/>
      <c r="D68" s="27"/>
    </row>
    <row r="69" ht="15.75" customHeight="1">
      <c r="A69" s="27"/>
      <c r="B69" s="27"/>
      <c r="C69" s="27"/>
      <c r="D69" s="27"/>
    </row>
    <row r="70" ht="15.75" customHeight="1">
      <c r="A70" s="27"/>
      <c r="B70" s="27"/>
      <c r="C70" s="27"/>
      <c r="D70" s="27"/>
    </row>
    <row r="71" ht="15.75" customHeight="1">
      <c r="A71" s="27"/>
      <c r="B71" s="27"/>
      <c r="C71" s="27"/>
      <c r="D71" s="27"/>
    </row>
    <row r="72" ht="15.75" customHeight="1">
      <c r="A72" s="27"/>
      <c r="B72" s="27"/>
      <c r="C72" s="27"/>
      <c r="D72" s="27"/>
    </row>
    <row r="73" ht="15.75" customHeight="1">
      <c r="A73" s="27"/>
      <c r="B73" s="27"/>
      <c r="C73" s="27"/>
      <c r="D73" s="27"/>
    </row>
    <row r="74" ht="15.75" customHeight="1">
      <c r="A74" s="27"/>
      <c r="B74" s="27"/>
      <c r="C74" s="27"/>
      <c r="D74" s="27"/>
    </row>
    <row r="75" ht="15.75" customHeight="1">
      <c r="A75" s="27"/>
      <c r="B75" s="27"/>
      <c r="C75" s="27"/>
      <c r="D75" s="27"/>
    </row>
    <row r="76" ht="15.75" customHeight="1">
      <c r="A76" s="27"/>
      <c r="B76" s="27"/>
      <c r="C76" s="27"/>
      <c r="D76" s="27"/>
    </row>
    <row r="77" ht="15.75" customHeight="1">
      <c r="A77" s="27"/>
      <c r="B77" s="27"/>
      <c r="C77" s="27"/>
      <c r="D77" s="27"/>
    </row>
    <row r="78" ht="15.75" customHeight="1">
      <c r="A78" s="27"/>
      <c r="B78" s="27"/>
      <c r="C78" s="27"/>
      <c r="D78" s="27"/>
    </row>
    <row r="79" ht="15.75" customHeight="1">
      <c r="A79" s="27"/>
      <c r="B79" s="27"/>
      <c r="C79" s="27"/>
      <c r="D79" s="27"/>
    </row>
    <row r="80" ht="15.75" customHeight="1">
      <c r="A80" s="27"/>
      <c r="B80" s="27"/>
      <c r="C80" s="27"/>
      <c r="D80" s="27"/>
    </row>
    <row r="81" ht="15.75" customHeight="1">
      <c r="A81" s="27"/>
      <c r="B81" s="27"/>
      <c r="C81" s="27"/>
      <c r="D81" s="27"/>
    </row>
    <row r="82" ht="15.75" customHeight="1">
      <c r="A82" s="27"/>
      <c r="B82" s="27"/>
      <c r="C82" s="27"/>
      <c r="D82" s="27"/>
    </row>
    <row r="83" ht="15.75" customHeight="1">
      <c r="A83" s="27"/>
      <c r="B83" s="27"/>
      <c r="C83" s="27"/>
      <c r="D83" s="27"/>
    </row>
    <row r="84" ht="15.75" customHeight="1">
      <c r="A84" s="27"/>
      <c r="B84" s="27"/>
      <c r="C84" s="27"/>
      <c r="D84" s="27"/>
    </row>
    <row r="85" ht="15.75" customHeight="1">
      <c r="A85" s="27"/>
      <c r="B85" s="27"/>
      <c r="C85" s="27"/>
      <c r="D85" s="27"/>
    </row>
    <row r="86" ht="15.75" customHeight="1">
      <c r="A86" s="27"/>
      <c r="B86" s="27"/>
      <c r="C86" s="27"/>
      <c r="D86" s="27"/>
    </row>
    <row r="87" ht="15.75" customHeight="1">
      <c r="A87" s="27"/>
      <c r="B87" s="27"/>
      <c r="C87" s="27"/>
      <c r="D87" s="27"/>
    </row>
    <row r="88" ht="15.75" customHeight="1">
      <c r="A88" s="27"/>
      <c r="B88" s="27"/>
      <c r="C88" s="27"/>
      <c r="D88" s="27"/>
    </row>
    <row r="89" ht="15.75" customHeight="1">
      <c r="A89" s="27"/>
      <c r="B89" s="27"/>
      <c r="C89" s="27"/>
      <c r="D89" s="27"/>
    </row>
    <row r="90" ht="15.75" customHeight="1">
      <c r="A90" s="27"/>
      <c r="B90" s="27"/>
      <c r="C90" s="27"/>
      <c r="D90" s="27"/>
    </row>
    <row r="91" ht="15.75" customHeight="1">
      <c r="A91" s="27"/>
      <c r="B91" s="27"/>
      <c r="C91" s="27"/>
      <c r="D91" s="27"/>
    </row>
    <row r="92" ht="15.75" customHeight="1">
      <c r="A92" s="27"/>
      <c r="B92" s="27"/>
      <c r="C92" s="27"/>
      <c r="D92" s="27"/>
    </row>
    <row r="93" ht="15.75" customHeight="1">
      <c r="A93" s="27"/>
      <c r="B93" s="27"/>
      <c r="C93" s="27"/>
      <c r="D93" s="27"/>
    </row>
    <row r="94" ht="15.75" customHeight="1">
      <c r="A94" s="27"/>
      <c r="B94" s="27"/>
      <c r="C94" s="27"/>
      <c r="D94" s="27"/>
    </row>
    <row r="95" ht="15.75" customHeight="1">
      <c r="A95" s="27"/>
      <c r="B95" s="27"/>
      <c r="C95" s="27"/>
      <c r="D95" s="27"/>
    </row>
    <row r="96" ht="15.75" customHeight="1">
      <c r="A96" s="27"/>
      <c r="B96" s="27"/>
      <c r="C96" s="27"/>
      <c r="D96" s="27"/>
    </row>
    <row r="97" ht="15.75" customHeight="1">
      <c r="A97" s="27"/>
      <c r="B97" s="27"/>
      <c r="C97" s="27"/>
      <c r="D97" s="27"/>
    </row>
    <row r="98" ht="15.75" customHeight="1">
      <c r="A98" s="27"/>
      <c r="B98" s="27"/>
      <c r="C98" s="27"/>
      <c r="D98" s="27"/>
    </row>
    <row r="99" ht="15.75" customHeight="1">
      <c r="A99" s="27"/>
      <c r="B99" s="27"/>
      <c r="C99" s="27"/>
      <c r="D99" s="27"/>
    </row>
    <row r="100" ht="15.75" customHeight="1">
      <c r="A100" s="27"/>
      <c r="B100" s="27"/>
      <c r="C100" s="27"/>
      <c r="D100" s="27"/>
    </row>
    <row r="101" ht="15.75" customHeight="1">
      <c r="A101" s="27"/>
      <c r="B101" s="27"/>
      <c r="C101" s="27"/>
      <c r="D101" s="27"/>
    </row>
    <row r="102" ht="15.75" customHeight="1">
      <c r="A102" s="27"/>
      <c r="B102" s="27"/>
      <c r="C102" s="27"/>
      <c r="D102" s="27"/>
    </row>
    <row r="103" ht="15.75" customHeight="1">
      <c r="A103" s="27"/>
      <c r="B103" s="27"/>
      <c r="C103" s="27"/>
      <c r="D103" s="27"/>
    </row>
    <row r="104" ht="15.75" customHeight="1">
      <c r="A104" s="27"/>
      <c r="B104" s="27"/>
      <c r="C104" s="27"/>
      <c r="D104" s="27"/>
    </row>
    <row r="105" ht="15.75" customHeight="1">
      <c r="A105" s="27"/>
      <c r="B105" s="27"/>
      <c r="C105" s="27"/>
      <c r="D105" s="27"/>
    </row>
    <row r="106" ht="15.75" customHeight="1">
      <c r="A106" s="27"/>
      <c r="B106" s="27"/>
      <c r="C106" s="27"/>
      <c r="D106" s="27"/>
    </row>
    <row r="107" ht="15.75" customHeight="1">
      <c r="A107" s="27"/>
      <c r="B107" s="27"/>
      <c r="C107" s="27"/>
      <c r="D107" s="27"/>
    </row>
    <row r="108" ht="15.75" customHeight="1">
      <c r="A108" s="27"/>
      <c r="B108" s="27"/>
      <c r="C108" s="27"/>
      <c r="D108" s="27"/>
    </row>
    <row r="109" ht="15.75" customHeight="1">
      <c r="A109" s="27"/>
      <c r="B109" s="27"/>
      <c r="C109" s="27"/>
      <c r="D109" s="27"/>
    </row>
    <row r="110" ht="15.75" customHeight="1">
      <c r="A110" s="27"/>
      <c r="B110" s="27"/>
      <c r="C110" s="27"/>
      <c r="D110" s="27"/>
    </row>
    <row r="111" ht="15.75" customHeight="1">
      <c r="A111" s="27"/>
      <c r="B111" s="27"/>
      <c r="C111" s="27"/>
      <c r="D111" s="27"/>
    </row>
    <row r="112" ht="15.75" customHeight="1">
      <c r="A112" s="27"/>
      <c r="B112" s="27"/>
      <c r="C112" s="27"/>
      <c r="D112" s="27"/>
    </row>
    <row r="113" ht="15.75" customHeight="1">
      <c r="A113" s="27"/>
      <c r="B113" s="27"/>
      <c r="C113" s="27"/>
      <c r="D113" s="27"/>
    </row>
    <row r="114" ht="15.75" customHeight="1">
      <c r="A114" s="27"/>
      <c r="B114" s="27"/>
      <c r="C114" s="27"/>
      <c r="D114" s="27"/>
    </row>
    <row r="115" ht="15.75" customHeight="1">
      <c r="A115" s="27"/>
      <c r="B115" s="27"/>
      <c r="C115" s="27"/>
      <c r="D115" s="27"/>
    </row>
    <row r="116" ht="15.75" customHeight="1">
      <c r="A116" s="27"/>
      <c r="B116" s="27"/>
      <c r="C116" s="27"/>
      <c r="D116" s="27"/>
    </row>
    <row r="117" ht="15.75" customHeight="1">
      <c r="A117" s="27"/>
      <c r="B117" s="27"/>
      <c r="C117" s="27"/>
      <c r="D117" s="27"/>
    </row>
    <row r="118" ht="15.75" customHeight="1">
      <c r="A118" s="27"/>
      <c r="B118" s="27"/>
      <c r="C118" s="27"/>
      <c r="D118" s="27"/>
    </row>
    <row r="119" ht="15.75" customHeight="1">
      <c r="A119" s="27"/>
      <c r="B119" s="27"/>
      <c r="C119" s="27"/>
      <c r="D119" s="27"/>
    </row>
    <row r="120" ht="15.75" customHeight="1">
      <c r="A120" s="27"/>
      <c r="B120" s="27"/>
      <c r="C120" s="27"/>
      <c r="D120" s="27"/>
    </row>
    <row r="121" ht="15.75" customHeight="1">
      <c r="A121" s="27"/>
      <c r="B121" s="27"/>
      <c r="C121" s="27"/>
      <c r="D121" s="27"/>
    </row>
    <row r="122" ht="15.75" customHeight="1">
      <c r="A122" s="27"/>
      <c r="B122" s="27"/>
      <c r="C122" s="27"/>
      <c r="D122" s="27"/>
    </row>
    <row r="123" ht="15.75" customHeight="1">
      <c r="A123" s="27"/>
      <c r="B123" s="27"/>
      <c r="C123" s="27"/>
      <c r="D123" s="27"/>
    </row>
    <row r="124" ht="15.75" customHeight="1">
      <c r="A124" s="27"/>
      <c r="B124" s="27"/>
      <c r="C124" s="27"/>
      <c r="D124" s="27"/>
    </row>
    <row r="125" ht="15.75" customHeight="1">
      <c r="A125" s="27"/>
      <c r="B125" s="27"/>
      <c r="C125" s="27"/>
      <c r="D125" s="27"/>
    </row>
    <row r="126" ht="15.75" customHeight="1">
      <c r="A126" s="27"/>
      <c r="B126" s="27"/>
      <c r="C126" s="27"/>
      <c r="D126" s="27"/>
    </row>
    <row r="127" ht="15.75" customHeight="1">
      <c r="A127" s="27"/>
      <c r="B127" s="27"/>
      <c r="C127" s="27"/>
      <c r="D127" s="27"/>
    </row>
    <row r="128" ht="15.75" customHeight="1">
      <c r="A128" s="27"/>
      <c r="B128" s="27"/>
      <c r="C128" s="27"/>
      <c r="D128" s="27"/>
    </row>
    <row r="129" ht="15.75" customHeight="1">
      <c r="A129" s="27"/>
      <c r="B129" s="27"/>
      <c r="C129" s="27"/>
      <c r="D129" s="27"/>
    </row>
    <row r="130" ht="15.75" customHeight="1">
      <c r="A130" s="27"/>
      <c r="B130" s="27"/>
      <c r="C130" s="27"/>
      <c r="D130" s="27"/>
    </row>
    <row r="131" ht="15.75" customHeight="1">
      <c r="A131" s="27"/>
      <c r="B131" s="27"/>
      <c r="C131" s="27"/>
      <c r="D131" s="27"/>
    </row>
    <row r="132" ht="15.75" customHeight="1">
      <c r="A132" s="27"/>
      <c r="B132" s="27"/>
      <c r="C132" s="27"/>
      <c r="D132" s="27"/>
    </row>
    <row r="133" ht="15.75" customHeight="1">
      <c r="A133" s="27"/>
      <c r="B133" s="27"/>
      <c r="C133" s="27"/>
      <c r="D133" s="27"/>
    </row>
    <row r="134" ht="15.75" customHeight="1">
      <c r="A134" s="27"/>
      <c r="B134" s="27"/>
      <c r="C134" s="27"/>
      <c r="D134" s="27"/>
    </row>
    <row r="135" ht="15.75" customHeight="1">
      <c r="A135" s="27"/>
      <c r="B135" s="27"/>
      <c r="C135" s="27"/>
      <c r="D135" s="27"/>
    </row>
    <row r="136" ht="15.75" customHeight="1">
      <c r="A136" s="27"/>
      <c r="B136" s="27"/>
      <c r="C136" s="27"/>
      <c r="D136" s="27"/>
    </row>
    <row r="137" ht="15.75" customHeight="1">
      <c r="A137" s="27"/>
      <c r="B137" s="27"/>
      <c r="C137" s="27"/>
      <c r="D137" s="27"/>
    </row>
    <row r="138" ht="15.75" customHeight="1">
      <c r="A138" s="27"/>
      <c r="B138" s="27"/>
      <c r="C138" s="27"/>
      <c r="D138" s="27"/>
    </row>
    <row r="139" ht="15.75" customHeight="1">
      <c r="A139" s="27"/>
      <c r="B139" s="27"/>
      <c r="C139" s="27"/>
      <c r="D139" s="27"/>
    </row>
    <row r="140" ht="15.75" customHeight="1">
      <c r="A140" s="27"/>
      <c r="B140" s="27"/>
      <c r="C140" s="27"/>
      <c r="D140" s="27"/>
    </row>
    <row r="141" ht="15.75" customHeight="1">
      <c r="A141" s="27"/>
      <c r="B141" s="27"/>
      <c r="C141" s="27"/>
      <c r="D141" s="27"/>
    </row>
    <row r="142" ht="15.75" customHeight="1">
      <c r="A142" s="27"/>
      <c r="B142" s="27"/>
      <c r="C142" s="27"/>
      <c r="D142" s="27"/>
    </row>
    <row r="143" ht="15.75" customHeight="1">
      <c r="A143" s="27"/>
      <c r="B143" s="27"/>
      <c r="C143" s="27"/>
      <c r="D143" s="27"/>
    </row>
    <row r="144" ht="15.75" customHeight="1">
      <c r="A144" s="27"/>
      <c r="B144" s="27"/>
      <c r="C144" s="27"/>
      <c r="D144" s="27"/>
    </row>
    <row r="145" ht="15.75" customHeight="1">
      <c r="A145" s="27"/>
      <c r="B145" s="27"/>
      <c r="C145" s="27"/>
      <c r="D145" s="27"/>
    </row>
    <row r="146" ht="15.75" customHeight="1">
      <c r="A146" s="27"/>
      <c r="B146" s="27"/>
      <c r="C146" s="27"/>
      <c r="D146" s="27"/>
    </row>
    <row r="147" ht="15.75" customHeight="1">
      <c r="A147" s="27"/>
      <c r="B147" s="27"/>
      <c r="C147" s="27"/>
      <c r="D147" s="27"/>
    </row>
    <row r="148" ht="15.75" customHeight="1">
      <c r="A148" s="27"/>
      <c r="B148" s="27"/>
      <c r="C148" s="27"/>
      <c r="D148" s="27"/>
    </row>
    <row r="149" ht="15.75" customHeight="1">
      <c r="A149" s="27"/>
      <c r="B149" s="27"/>
      <c r="C149" s="27"/>
      <c r="D149" s="27"/>
    </row>
    <row r="150" ht="15.75" customHeight="1">
      <c r="A150" s="27"/>
      <c r="B150" s="27"/>
      <c r="C150" s="27"/>
      <c r="D150" s="27"/>
    </row>
    <row r="151" ht="15.75" customHeight="1">
      <c r="A151" s="27"/>
      <c r="B151" s="27"/>
      <c r="C151" s="27"/>
      <c r="D151" s="27"/>
    </row>
    <row r="152" ht="15.75" customHeight="1">
      <c r="A152" s="27"/>
      <c r="B152" s="27"/>
      <c r="C152" s="27"/>
      <c r="D152" s="27"/>
    </row>
    <row r="153" ht="15.75" customHeight="1">
      <c r="A153" s="27"/>
      <c r="B153" s="27"/>
      <c r="C153" s="27"/>
      <c r="D153" s="27"/>
    </row>
    <row r="154" ht="15.75" customHeight="1">
      <c r="A154" s="27"/>
      <c r="B154" s="27"/>
      <c r="C154" s="27"/>
      <c r="D154" s="27"/>
    </row>
    <row r="155" ht="15.75" customHeight="1">
      <c r="A155" s="27"/>
      <c r="B155" s="27"/>
      <c r="C155" s="27"/>
      <c r="D155" s="27"/>
    </row>
    <row r="156" ht="15.75" customHeight="1">
      <c r="A156" s="27"/>
      <c r="B156" s="27"/>
      <c r="C156" s="27"/>
      <c r="D156" s="27"/>
    </row>
    <row r="157" ht="15.75" customHeight="1">
      <c r="A157" s="27"/>
      <c r="B157" s="27"/>
      <c r="C157" s="27"/>
      <c r="D157" s="27"/>
    </row>
    <row r="158" ht="15.75" customHeight="1">
      <c r="A158" s="27"/>
      <c r="B158" s="27"/>
      <c r="C158" s="27"/>
      <c r="D158" s="27"/>
    </row>
    <row r="159" ht="15.75" customHeight="1">
      <c r="A159" s="27"/>
      <c r="B159" s="27"/>
      <c r="C159" s="27"/>
      <c r="D159" s="27"/>
    </row>
    <row r="160" ht="15.75" customHeight="1">
      <c r="A160" s="27"/>
      <c r="B160" s="27"/>
      <c r="C160" s="27"/>
      <c r="D160" s="27"/>
    </row>
    <row r="161" ht="15.75" customHeight="1">
      <c r="A161" s="27"/>
      <c r="B161" s="27"/>
      <c r="C161" s="27"/>
      <c r="D161" s="27"/>
    </row>
    <row r="162" ht="15.75" customHeight="1">
      <c r="A162" s="27"/>
      <c r="B162" s="27"/>
      <c r="C162" s="27"/>
      <c r="D162" s="27"/>
    </row>
    <row r="163" ht="15.75" customHeight="1">
      <c r="A163" s="27"/>
      <c r="B163" s="27"/>
      <c r="C163" s="27"/>
      <c r="D163" s="27"/>
    </row>
    <row r="164" ht="15.75" customHeight="1">
      <c r="A164" s="27"/>
      <c r="B164" s="27"/>
      <c r="C164" s="27"/>
      <c r="D164" s="27"/>
    </row>
    <row r="165" ht="15.75" customHeight="1">
      <c r="A165" s="27"/>
      <c r="B165" s="27"/>
      <c r="C165" s="27"/>
      <c r="D165" s="27"/>
    </row>
    <row r="166" ht="15.75" customHeight="1">
      <c r="A166" s="27"/>
      <c r="B166" s="27"/>
      <c r="C166" s="27"/>
      <c r="D166" s="27"/>
    </row>
    <row r="167" ht="15.75" customHeight="1">
      <c r="A167" s="27"/>
      <c r="B167" s="27"/>
      <c r="C167" s="27"/>
      <c r="D167" s="27"/>
    </row>
    <row r="168" ht="15.75" customHeight="1">
      <c r="A168" s="27"/>
      <c r="B168" s="27"/>
      <c r="C168" s="27"/>
      <c r="D168" s="27"/>
    </row>
    <row r="169" ht="15.75" customHeight="1">
      <c r="A169" s="27"/>
      <c r="B169" s="27"/>
      <c r="C169" s="27"/>
      <c r="D169" s="27"/>
    </row>
    <row r="170" ht="15.75" customHeight="1">
      <c r="A170" s="27"/>
      <c r="B170" s="27"/>
      <c r="C170" s="27"/>
      <c r="D170" s="27"/>
    </row>
    <row r="171" ht="15.75" customHeight="1">
      <c r="A171" s="27"/>
      <c r="B171" s="27"/>
      <c r="C171" s="27"/>
      <c r="D171" s="27"/>
    </row>
    <row r="172" ht="15.75" customHeight="1">
      <c r="A172" s="27"/>
      <c r="B172" s="27"/>
      <c r="C172" s="27"/>
      <c r="D172" s="27"/>
    </row>
    <row r="173" ht="15.75" customHeight="1">
      <c r="A173" s="27"/>
      <c r="B173" s="27"/>
      <c r="C173" s="27"/>
      <c r="D173" s="27"/>
    </row>
    <row r="174" ht="15.75" customHeight="1">
      <c r="A174" s="27"/>
      <c r="B174" s="27"/>
      <c r="C174" s="27"/>
      <c r="D174" s="27"/>
    </row>
    <row r="175" ht="15.75" customHeight="1">
      <c r="A175" s="27"/>
      <c r="B175" s="27"/>
      <c r="C175" s="27"/>
      <c r="D175" s="27"/>
    </row>
    <row r="176" ht="15.75" customHeight="1">
      <c r="A176" s="27"/>
      <c r="B176" s="27"/>
      <c r="C176" s="27"/>
      <c r="D176" s="27"/>
    </row>
    <row r="177" ht="15.75" customHeight="1">
      <c r="A177" s="27"/>
      <c r="B177" s="27"/>
      <c r="C177" s="27"/>
      <c r="D177" s="27"/>
    </row>
    <row r="178" ht="15.75" customHeight="1">
      <c r="A178" s="27"/>
      <c r="B178" s="27"/>
      <c r="C178" s="27"/>
      <c r="D178" s="27"/>
    </row>
    <row r="179" ht="15.75" customHeight="1">
      <c r="A179" s="27"/>
      <c r="B179" s="27"/>
      <c r="C179" s="27"/>
      <c r="D179" s="27"/>
    </row>
    <row r="180" ht="15.75" customHeight="1">
      <c r="A180" s="27"/>
      <c r="B180" s="27"/>
      <c r="C180" s="27"/>
      <c r="D180" s="27"/>
    </row>
    <row r="181" ht="15.75" customHeight="1">
      <c r="A181" s="27"/>
      <c r="B181" s="27"/>
      <c r="C181" s="27"/>
      <c r="D181" s="27"/>
    </row>
    <row r="182" ht="15.75" customHeight="1">
      <c r="A182" s="27"/>
      <c r="B182" s="27"/>
      <c r="C182" s="27"/>
      <c r="D182" s="27"/>
    </row>
    <row r="183" ht="15.75" customHeight="1">
      <c r="A183" s="27"/>
      <c r="B183" s="27"/>
      <c r="C183" s="27"/>
      <c r="D183" s="27"/>
    </row>
    <row r="184" ht="15.75" customHeight="1">
      <c r="A184" s="27"/>
      <c r="B184" s="27"/>
      <c r="C184" s="27"/>
      <c r="D184" s="27"/>
    </row>
    <row r="185" ht="15.75" customHeight="1">
      <c r="A185" s="27"/>
      <c r="B185" s="27"/>
      <c r="C185" s="27"/>
      <c r="D185" s="27"/>
    </row>
    <row r="186" ht="15.75" customHeight="1">
      <c r="A186" s="27"/>
      <c r="B186" s="27"/>
      <c r="C186" s="27"/>
      <c r="D186" s="27"/>
    </row>
    <row r="187" ht="15.75" customHeight="1">
      <c r="A187" s="27"/>
      <c r="B187" s="27"/>
      <c r="C187" s="27"/>
      <c r="D187" s="27"/>
    </row>
    <row r="188" ht="15.75" customHeight="1">
      <c r="A188" s="27"/>
      <c r="B188" s="27"/>
      <c r="C188" s="27"/>
      <c r="D188" s="27"/>
    </row>
    <row r="189" ht="15.75" customHeight="1">
      <c r="A189" s="27"/>
      <c r="B189" s="27"/>
      <c r="C189" s="27"/>
      <c r="D189" s="27"/>
    </row>
    <row r="190" ht="15.75" customHeight="1">
      <c r="A190" s="27"/>
      <c r="B190" s="27"/>
      <c r="C190" s="27"/>
      <c r="D190" s="27"/>
    </row>
    <row r="191" ht="15.75" customHeight="1">
      <c r="A191" s="27"/>
      <c r="B191" s="27"/>
      <c r="C191" s="27"/>
      <c r="D191" s="27"/>
    </row>
    <row r="192" ht="15.75" customHeight="1">
      <c r="A192" s="27"/>
      <c r="B192" s="27"/>
      <c r="C192" s="27"/>
      <c r="D192" s="27"/>
    </row>
    <row r="193" ht="15.75" customHeight="1">
      <c r="A193" s="27"/>
      <c r="B193" s="27"/>
      <c r="C193" s="27"/>
      <c r="D193" s="27"/>
    </row>
    <row r="194" ht="15.75" customHeight="1">
      <c r="A194" s="27"/>
      <c r="B194" s="27"/>
      <c r="C194" s="27"/>
      <c r="D194" s="27"/>
    </row>
    <row r="195" ht="15.75" customHeight="1">
      <c r="A195" s="27"/>
      <c r="B195" s="27"/>
      <c r="C195" s="27"/>
      <c r="D195" s="27"/>
    </row>
    <row r="196" ht="15.75" customHeight="1">
      <c r="A196" s="27"/>
      <c r="B196" s="27"/>
      <c r="C196" s="27"/>
      <c r="D196" s="27"/>
    </row>
    <row r="197" ht="15.75" customHeight="1">
      <c r="A197" s="27"/>
      <c r="B197" s="27"/>
      <c r="C197" s="27"/>
      <c r="D197" s="27"/>
    </row>
    <row r="198" ht="15.75" customHeight="1">
      <c r="A198" s="27"/>
      <c r="B198" s="27"/>
      <c r="C198" s="27"/>
      <c r="D198" s="27"/>
    </row>
    <row r="199" ht="15.75" customHeight="1">
      <c r="A199" s="27"/>
      <c r="B199" s="27"/>
      <c r="C199" s="27"/>
      <c r="D199" s="27"/>
    </row>
    <row r="200" ht="15.75" customHeight="1">
      <c r="A200" s="27"/>
      <c r="B200" s="27"/>
      <c r="C200" s="27"/>
      <c r="D200" s="27"/>
    </row>
    <row r="201" ht="15.75" customHeight="1">
      <c r="A201" s="27"/>
      <c r="B201" s="27"/>
      <c r="C201" s="27"/>
      <c r="D201" s="27"/>
    </row>
    <row r="202" ht="15.75" customHeight="1">
      <c r="A202" s="27"/>
      <c r="B202" s="27"/>
      <c r="C202" s="27"/>
      <c r="D202" s="27"/>
    </row>
    <row r="203" ht="15.75" customHeight="1">
      <c r="A203" s="27"/>
      <c r="B203" s="27"/>
      <c r="C203" s="27"/>
      <c r="D203" s="27"/>
    </row>
    <row r="204" ht="15.75" customHeight="1">
      <c r="A204" s="27"/>
      <c r="B204" s="27"/>
      <c r="C204" s="27"/>
      <c r="D204" s="27"/>
    </row>
    <row r="205" ht="15.75" customHeight="1">
      <c r="A205" s="27"/>
      <c r="B205" s="27"/>
      <c r="C205" s="27"/>
      <c r="D205" s="27"/>
    </row>
    <row r="206" ht="15.75" customHeight="1">
      <c r="A206" s="27"/>
      <c r="B206" s="27"/>
      <c r="C206" s="27"/>
      <c r="D206" s="27"/>
    </row>
    <row r="207" ht="15.75" customHeight="1">
      <c r="A207" s="27"/>
      <c r="B207" s="27"/>
      <c r="C207" s="27"/>
      <c r="D207" s="27"/>
    </row>
    <row r="208" ht="15.75" customHeight="1">
      <c r="A208" s="27"/>
      <c r="B208" s="27"/>
      <c r="C208" s="27"/>
      <c r="D208" s="27"/>
    </row>
    <row r="209" ht="15.75" customHeight="1">
      <c r="A209" s="27"/>
      <c r="B209" s="27"/>
      <c r="C209" s="27"/>
      <c r="D209" s="27"/>
    </row>
    <row r="210" ht="15.75" customHeight="1">
      <c r="A210" s="27"/>
      <c r="B210" s="27"/>
      <c r="C210" s="27"/>
      <c r="D210" s="27"/>
    </row>
    <row r="211" ht="15.75" customHeight="1">
      <c r="A211" s="27"/>
      <c r="B211" s="27"/>
      <c r="C211" s="27"/>
      <c r="D211" s="27"/>
    </row>
    <row r="212" ht="15.75" customHeight="1">
      <c r="A212" s="27"/>
      <c r="B212" s="27"/>
      <c r="C212" s="27"/>
      <c r="D212" s="27"/>
    </row>
    <row r="213" ht="15.75" customHeight="1">
      <c r="A213" s="27"/>
      <c r="B213" s="27"/>
      <c r="C213" s="27"/>
      <c r="D213" s="27"/>
    </row>
    <row r="214" ht="15.75" customHeight="1">
      <c r="A214" s="27"/>
      <c r="B214" s="27"/>
      <c r="C214" s="27"/>
      <c r="D214" s="27"/>
    </row>
    <row r="215" ht="15.75" customHeight="1">
      <c r="A215" s="27"/>
      <c r="B215" s="27"/>
      <c r="C215" s="27"/>
      <c r="D215" s="27"/>
    </row>
    <row r="216" ht="15.75" customHeight="1">
      <c r="A216" s="27"/>
      <c r="B216" s="27"/>
      <c r="C216" s="27"/>
      <c r="D216" s="27"/>
    </row>
    <row r="217" ht="15.75" customHeight="1">
      <c r="A217" s="27"/>
      <c r="B217" s="27"/>
      <c r="C217" s="27"/>
      <c r="D217" s="27"/>
    </row>
    <row r="218" ht="15.75" customHeight="1">
      <c r="A218" s="27"/>
      <c r="B218" s="27"/>
      <c r="C218" s="27"/>
      <c r="D218" s="27"/>
    </row>
    <row r="219" ht="15.75" customHeight="1">
      <c r="A219" s="27"/>
      <c r="B219" s="27"/>
      <c r="C219" s="27"/>
      <c r="D219" s="27"/>
    </row>
    <row r="220" ht="15.75" customHeight="1">
      <c r="A220" s="27"/>
      <c r="B220" s="27"/>
      <c r="C220" s="27"/>
      <c r="D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000">
    <cfRule type="expression" dxfId="0" priority="1">
      <formula>$D1="SI"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63"/>
    <col customWidth="1" min="4" max="6" width="12.63"/>
  </cols>
  <sheetData>
    <row r="1" ht="15.75" customHeight="1">
      <c r="A1" s="27">
        <v>381.0</v>
      </c>
      <c r="B1" s="27" t="s">
        <v>23</v>
      </c>
      <c r="C1" s="27" t="s">
        <v>21</v>
      </c>
      <c r="D1" s="27" t="s">
        <v>22</v>
      </c>
    </row>
    <row r="2" ht="15.75" customHeight="1">
      <c r="A2" s="27">
        <v>382.0</v>
      </c>
      <c r="B2" s="27" t="s">
        <v>77</v>
      </c>
      <c r="C2" s="27" t="s">
        <v>76</v>
      </c>
      <c r="D2" s="27" t="s">
        <v>22</v>
      </c>
    </row>
    <row r="3" ht="15.75" customHeight="1">
      <c r="A3" s="27">
        <v>383.0</v>
      </c>
      <c r="B3" s="27" t="s">
        <v>167</v>
      </c>
      <c r="C3" s="27" t="s">
        <v>166</v>
      </c>
      <c r="D3" s="27" t="s">
        <v>22</v>
      </c>
      <c r="E3" s="24">
        <v>1.0</v>
      </c>
    </row>
    <row r="4" ht="15.75" customHeight="1">
      <c r="A4" s="27">
        <v>384.0</v>
      </c>
      <c r="B4" s="27" t="s">
        <v>257</v>
      </c>
      <c r="C4" s="27" t="s">
        <v>256</v>
      </c>
      <c r="D4" s="27" t="s">
        <v>22</v>
      </c>
    </row>
    <row r="5" ht="15.75" customHeight="1">
      <c r="A5" s="27">
        <v>385.0</v>
      </c>
      <c r="B5" s="27" t="s">
        <v>293</v>
      </c>
      <c r="C5" s="27" t="s">
        <v>292</v>
      </c>
      <c r="D5" s="27"/>
    </row>
    <row r="6" ht="15.75" customHeight="1">
      <c r="A6" s="27">
        <v>386.0</v>
      </c>
      <c r="B6" s="27" t="s">
        <v>311</v>
      </c>
      <c r="C6" s="27" t="s">
        <v>310</v>
      </c>
      <c r="D6" s="27" t="s">
        <v>22</v>
      </c>
      <c r="E6" s="29">
        <v>1.0</v>
      </c>
    </row>
    <row r="7" ht="15.75" customHeight="1">
      <c r="A7" s="27">
        <v>387.0</v>
      </c>
      <c r="B7" s="27" t="s">
        <v>347</v>
      </c>
      <c r="C7" s="27" t="s">
        <v>346</v>
      </c>
      <c r="D7" s="27" t="s">
        <v>22</v>
      </c>
      <c r="E7" s="28">
        <v>3.0</v>
      </c>
    </row>
    <row r="8" ht="15.75" customHeight="1">
      <c r="A8" s="27">
        <v>499.0</v>
      </c>
      <c r="B8" s="27" t="s">
        <v>149</v>
      </c>
      <c r="C8" s="27" t="s">
        <v>148</v>
      </c>
      <c r="D8" s="27"/>
    </row>
    <row r="9" ht="15.75" customHeight="1">
      <c r="A9" s="27">
        <v>500.0</v>
      </c>
      <c r="B9" s="27" t="s">
        <v>384</v>
      </c>
      <c r="C9" s="27" t="s">
        <v>184</v>
      </c>
      <c r="D9" s="2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A1:D9">
    <cfRule type="expression" dxfId="0" priority="1">
      <formula>$D1="SI"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27">
        <v>388.0</v>
      </c>
      <c r="B1" s="27" t="s">
        <v>46</v>
      </c>
      <c r="C1" s="27" t="s">
        <v>40</v>
      </c>
      <c r="D1" s="27" t="s">
        <v>22</v>
      </c>
    </row>
    <row r="2" ht="15.75" customHeight="1">
      <c r="A2" s="27">
        <v>389.0</v>
      </c>
      <c r="B2" s="27" t="s">
        <v>44</v>
      </c>
      <c r="C2" s="27" t="s">
        <v>40</v>
      </c>
      <c r="D2" s="27" t="s">
        <v>22</v>
      </c>
      <c r="E2" s="24"/>
    </row>
    <row r="3" ht="15.75" customHeight="1">
      <c r="A3" s="27">
        <v>390.0</v>
      </c>
      <c r="B3" s="27" t="s">
        <v>62</v>
      </c>
      <c r="C3" s="27" t="s">
        <v>58</v>
      </c>
      <c r="D3" s="27"/>
    </row>
    <row r="4" ht="15.75" customHeight="1">
      <c r="A4" s="27">
        <v>391.0</v>
      </c>
      <c r="B4" s="27" t="s">
        <v>136</v>
      </c>
      <c r="C4" s="27" t="s">
        <v>130</v>
      </c>
      <c r="D4" s="27" t="s">
        <v>22</v>
      </c>
      <c r="E4" s="24">
        <v>1.0</v>
      </c>
    </row>
    <row r="5" ht="15.75" customHeight="1">
      <c r="A5" s="27">
        <v>392.0</v>
      </c>
      <c r="B5" s="27" t="s">
        <v>154</v>
      </c>
      <c r="C5" s="27" t="s">
        <v>148</v>
      </c>
      <c r="D5" s="27" t="s">
        <v>22</v>
      </c>
      <c r="E5" s="24">
        <v>1.0</v>
      </c>
    </row>
    <row r="6" ht="15.75" customHeight="1">
      <c r="A6" s="27">
        <v>393.0</v>
      </c>
      <c r="B6" s="27" t="s">
        <v>225</v>
      </c>
      <c r="C6" s="27" t="s">
        <v>220</v>
      </c>
      <c r="D6" s="27" t="s">
        <v>22</v>
      </c>
      <c r="E6" s="29">
        <v>1.0</v>
      </c>
    </row>
    <row r="7" ht="15.75" customHeight="1">
      <c r="A7" s="27">
        <v>394.0</v>
      </c>
      <c r="B7" s="27" t="s">
        <v>297</v>
      </c>
      <c r="C7" s="27" t="s">
        <v>292</v>
      </c>
      <c r="D7" s="27"/>
    </row>
    <row r="8" ht="15.75" customHeight="1">
      <c r="A8" s="27">
        <v>395.0</v>
      </c>
      <c r="B8" s="27" t="s">
        <v>351</v>
      </c>
      <c r="C8" s="27" t="s">
        <v>346</v>
      </c>
      <c r="D8" s="27" t="s">
        <v>22</v>
      </c>
    </row>
    <row r="9" ht="15.75" customHeight="1">
      <c r="A9" s="27">
        <v>396.0</v>
      </c>
      <c r="B9" s="27" t="s">
        <v>367</v>
      </c>
      <c r="C9" s="27" t="s">
        <v>364</v>
      </c>
      <c r="D9" s="27" t="s">
        <v>22</v>
      </c>
      <c r="E9" s="24">
        <v>1.0</v>
      </c>
    </row>
    <row r="10" ht="15.75" customHeight="1">
      <c r="A10" s="27">
        <v>501.0</v>
      </c>
      <c r="B10" s="27" t="s">
        <v>385</v>
      </c>
      <c r="C10" s="27" t="s">
        <v>58</v>
      </c>
      <c r="D10" s="27"/>
    </row>
    <row r="11" ht="15.75" customHeight="1">
      <c r="A11" s="27">
        <v>502.0</v>
      </c>
      <c r="B11" s="27" t="s">
        <v>386</v>
      </c>
      <c r="C11" s="27" t="s">
        <v>76</v>
      </c>
      <c r="D11" s="27"/>
    </row>
    <row r="12" ht="15.75" customHeight="1">
      <c r="A12" s="27">
        <v>503.0</v>
      </c>
      <c r="B12" s="27" t="s">
        <v>387</v>
      </c>
      <c r="C12" s="27" t="s">
        <v>220</v>
      </c>
      <c r="D12" s="2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0:D12">
    <cfRule type="expression" dxfId="0" priority="1">
      <formula>$D10="SI"</formula>
    </cfRule>
  </conditionalFormatting>
  <conditionalFormatting sqref="A1:D12">
    <cfRule type="expression" dxfId="0" priority="2">
      <formula>$D1="SI"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8.38"/>
    <col customWidth="1" min="4" max="6" width="12.63"/>
  </cols>
  <sheetData>
    <row r="1" ht="15.75" customHeight="1">
      <c r="A1" s="27">
        <v>397.0</v>
      </c>
      <c r="B1" s="27" t="s">
        <v>388</v>
      </c>
      <c r="C1" s="27" t="s">
        <v>40</v>
      </c>
      <c r="D1" s="27" t="s">
        <v>22</v>
      </c>
      <c r="E1" s="29">
        <v>1.0</v>
      </c>
    </row>
    <row r="2" ht="15.75" customHeight="1">
      <c r="A2" s="27">
        <v>398.0</v>
      </c>
      <c r="B2" s="27" t="s">
        <v>389</v>
      </c>
      <c r="C2" s="27" t="s">
        <v>76</v>
      </c>
      <c r="D2" s="27" t="s">
        <v>22</v>
      </c>
      <c r="E2" s="24">
        <v>1.0</v>
      </c>
    </row>
    <row r="3" ht="15.75" customHeight="1">
      <c r="A3" s="27">
        <v>399.0</v>
      </c>
      <c r="B3" s="27" t="s">
        <v>101</v>
      </c>
      <c r="C3" s="27" t="s">
        <v>94</v>
      </c>
      <c r="D3" s="27" t="s">
        <v>22</v>
      </c>
      <c r="E3" s="24">
        <v>1.0</v>
      </c>
    </row>
    <row r="4" ht="15.75" customHeight="1">
      <c r="A4" s="27">
        <v>400.0</v>
      </c>
      <c r="B4" s="27" t="s">
        <v>390</v>
      </c>
      <c r="C4" s="27" t="s">
        <v>94</v>
      </c>
      <c r="D4" s="27" t="s">
        <v>22</v>
      </c>
    </row>
    <row r="5" ht="15.75" customHeight="1">
      <c r="A5" s="27">
        <v>401.0</v>
      </c>
      <c r="B5" s="27" t="s">
        <v>143</v>
      </c>
      <c r="C5" s="27" t="s">
        <v>130</v>
      </c>
      <c r="D5" s="27" t="s">
        <v>22</v>
      </c>
      <c r="E5" s="24">
        <v>2.0</v>
      </c>
    </row>
    <row r="6" ht="15.75" customHeight="1">
      <c r="A6" s="27">
        <v>402.0</v>
      </c>
      <c r="B6" s="27" t="s">
        <v>153</v>
      </c>
      <c r="C6" s="27" t="s">
        <v>148</v>
      </c>
      <c r="D6" s="27" t="s">
        <v>22</v>
      </c>
      <c r="E6" s="24">
        <v>1.0</v>
      </c>
    </row>
    <row r="7" ht="15.75" customHeight="1">
      <c r="A7" s="27">
        <v>403.0</v>
      </c>
      <c r="B7" s="27" t="s">
        <v>175</v>
      </c>
      <c r="C7" s="27" t="s">
        <v>166</v>
      </c>
      <c r="D7" s="27" t="s">
        <v>22</v>
      </c>
      <c r="E7" s="24">
        <v>1.0</v>
      </c>
    </row>
    <row r="8" ht="15.75" customHeight="1">
      <c r="A8" s="27">
        <v>404.0</v>
      </c>
      <c r="B8" s="27" t="s">
        <v>182</v>
      </c>
      <c r="C8" s="27" t="s">
        <v>166</v>
      </c>
      <c r="D8" s="27" t="s">
        <v>22</v>
      </c>
      <c r="E8" s="24">
        <v>2.0</v>
      </c>
    </row>
    <row r="9" ht="15.75" customHeight="1">
      <c r="A9" s="27">
        <v>405.0</v>
      </c>
      <c r="B9" s="27" t="s">
        <v>189</v>
      </c>
      <c r="C9" s="27" t="s">
        <v>184</v>
      </c>
      <c r="D9" s="27" t="s">
        <v>22</v>
      </c>
      <c r="E9" s="24">
        <v>1.0</v>
      </c>
    </row>
    <row r="10" ht="15.75" customHeight="1">
      <c r="A10" s="27">
        <v>406.0</v>
      </c>
      <c r="B10" s="27" t="s">
        <v>197</v>
      </c>
      <c r="C10" s="27" t="s">
        <v>184</v>
      </c>
      <c r="D10" s="27" t="s">
        <v>22</v>
      </c>
    </row>
    <row r="11" ht="15.75" customHeight="1">
      <c r="A11" s="27">
        <v>407.0</v>
      </c>
      <c r="B11" s="27" t="s">
        <v>215</v>
      </c>
      <c r="C11" s="27" t="s">
        <v>202</v>
      </c>
      <c r="D11" s="27" t="s">
        <v>22</v>
      </c>
      <c r="E11" s="24">
        <v>2.0</v>
      </c>
    </row>
    <row r="12" ht="15.75" customHeight="1">
      <c r="A12" s="27">
        <v>408.0</v>
      </c>
      <c r="B12" s="27" t="s">
        <v>219</v>
      </c>
      <c r="C12" s="27" t="s">
        <v>202</v>
      </c>
      <c r="D12" s="27" t="s">
        <v>22</v>
      </c>
      <c r="E12" s="24">
        <v>2.0</v>
      </c>
    </row>
    <row r="13" ht="15.75" customHeight="1">
      <c r="A13" s="27">
        <v>409.0</v>
      </c>
      <c r="B13" s="27" t="s">
        <v>391</v>
      </c>
      <c r="C13" s="27" t="s">
        <v>220</v>
      </c>
      <c r="D13" s="27" t="s">
        <v>22</v>
      </c>
      <c r="E13" s="24">
        <v>1.0</v>
      </c>
    </row>
    <row r="14" ht="15.75" customHeight="1">
      <c r="A14" s="27">
        <v>410.0</v>
      </c>
      <c r="B14" s="27" t="s">
        <v>236</v>
      </c>
      <c r="C14" s="27" t="s">
        <v>220</v>
      </c>
      <c r="D14" s="27" t="s">
        <v>22</v>
      </c>
    </row>
    <row r="15" ht="15.75" customHeight="1">
      <c r="A15" s="27">
        <v>411.0</v>
      </c>
      <c r="B15" s="27" t="s">
        <v>255</v>
      </c>
      <c r="C15" s="27" t="s">
        <v>238</v>
      </c>
      <c r="D15" s="27" t="s">
        <v>22</v>
      </c>
    </row>
    <row r="16" ht="15.75" customHeight="1">
      <c r="A16" s="27">
        <v>412.0</v>
      </c>
      <c r="B16" s="27" t="s">
        <v>254</v>
      </c>
      <c r="C16" s="27" t="s">
        <v>238</v>
      </c>
      <c r="D16" s="27"/>
    </row>
    <row r="17" ht="15.75" customHeight="1">
      <c r="A17" s="27">
        <v>413.0</v>
      </c>
      <c r="B17" s="27" t="s">
        <v>270</v>
      </c>
      <c r="C17" s="27" t="s">
        <v>256</v>
      </c>
      <c r="D17" s="27" t="s">
        <v>22</v>
      </c>
      <c r="E17" s="24">
        <v>1.0</v>
      </c>
    </row>
    <row r="18" ht="15.75" customHeight="1">
      <c r="A18" s="27">
        <v>414.0</v>
      </c>
      <c r="B18" s="27" t="s">
        <v>370</v>
      </c>
      <c r="C18" s="27" t="s">
        <v>364</v>
      </c>
      <c r="D18" s="27" t="s">
        <v>22</v>
      </c>
      <c r="E18" s="24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8">
    <cfRule type="expression" dxfId="0" priority="1">
      <formula>$D1="SI"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38"/>
    <col customWidth="1" min="3" max="3" width="17.75"/>
    <col customWidth="1" min="4" max="6" width="12.63"/>
  </cols>
  <sheetData>
    <row r="1" ht="15.75" customHeight="1">
      <c r="A1" s="30">
        <v>415.0</v>
      </c>
      <c r="B1" s="27" t="s">
        <v>67</v>
      </c>
      <c r="C1" s="27" t="s">
        <v>58</v>
      </c>
      <c r="D1" s="27" t="s">
        <v>22</v>
      </c>
      <c r="E1" s="25">
        <v>1.0</v>
      </c>
    </row>
    <row r="2" ht="15.75" customHeight="1">
      <c r="A2" s="30" t="s">
        <v>392</v>
      </c>
      <c r="B2" s="27" t="s">
        <v>48</v>
      </c>
      <c r="C2" s="27" t="s">
        <v>40</v>
      </c>
      <c r="D2" s="27" t="s">
        <v>22</v>
      </c>
    </row>
    <row r="3" ht="15.75" customHeight="1">
      <c r="A3" s="30">
        <v>416.0</v>
      </c>
      <c r="B3" s="27" t="s">
        <v>123</v>
      </c>
      <c r="C3" s="27" t="s">
        <v>112</v>
      </c>
      <c r="D3" s="27" t="s">
        <v>22</v>
      </c>
      <c r="E3" s="25">
        <v>1.0</v>
      </c>
    </row>
    <row r="4" ht="15.75" customHeight="1">
      <c r="A4" s="30" t="s">
        <v>393</v>
      </c>
      <c r="B4" s="27" t="s">
        <v>105</v>
      </c>
      <c r="C4" s="27" t="s">
        <v>94</v>
      </c>
      <c r="D4" s="27"/>
    </row>
    <row r="5" ht="15.75" customHeight="1">
      <c r="A5" s="30">
        <v>417.0</v>
      </c>
      <c r="B5" s="27" t="s">
        <v>141</v>
      </c>
      <c r="C5" s="27" t="s">
        <v>130</v>
      </c>
      <c r="D5" s="27" t="s">
        <v>22</v>
      </c>
      <c r="F5" s="24"/>
    </row>
    <row r="6" ht="15.75" customHeight="1">
      <c r="A6" s="30" t="s">
        <v>394</v>
      </c>
      <c r="B6" s="27" t="s">
        <v>251</v>
      </c>
      <c r="C6" s="27" t="s">
        <v>238</v>
      </c>
      <c r="D6" s="27" t="s">
        <v>22</v>
      </c>
      <c r="E6" s="29">
        <v>1.0</v>
      </c>
      <c r="F6" s="24"/>
    </row>
    <row r="7" ht="15.75" customHeight="1">
      <c r="A7" s="30">
        <v>418.0</v>
      </c>
      <c r="B7" s="27" t="s">
        <v>158</v>
      </c>
      <c r="C7" s="27" t="s">
        <v>148</v>
      </c>
      <c r="D7" s="27" t="s">
        <v>22</v>
      </c>
      <c r="E7" s="25">
        <v>1.0</v>
      </c>
    </row>
    <row r="8" ht="15.75" customHeight="1">
      <c r="A8" s="30" t="s">
        <v>395</v>
      </c>
      <c r="B8" s="27" t="s">
        <v>373</v>
      </c>
      <c r="C8" s="27" t="s">
        <v>364</v>
      </c>
      <c r="D8" s="27" t="s">
        <v>22</v>
      </c>
    </row>
    <row r="9" ht="15.75" customHeight="1">
      <c r="A9" s="30">
        <v>419.0</v>
      </c>
      <c r="B9" s="27" t="s">
        <v>178</v>
      </c>
      <c r="C9" s="27" t="s">
        <v>166</v>
      </c>
      <c r="D9" s="27" t="s">
        <v>22</v>
      </c>
      <c r="E9" s="25">
        <v>1.0</v>
      </c>
    </row>
    <row r="10" ht="15.75" customHeight="1">
      <c r="A10" s="30">
        <v>420.0</v>
      </c>
      <c r="B10" s="27" t="s">
        <v>249</v>
      </c>
      <c r="C10" s="27" t="s">
        <v>238</v>
      </c>
      <c r="D10" s="27" t="s">
        <v>22</v>
      </c>
    </row>
    <row r="11" ht="15.75" customHeight="1">
      <c r="A11" s="30">
        <v>421.0</v>
      </c>
      <c r="B11" s="27" t="s">
        <v>269</v>
      </c>
      <c r="C11" s="27" t="s">
        <v>256</v>
      </c>
      <c r="D11" s="27" t="s">
        <v>22</v>
      </c>
      <c r="E11" s="25">
        <v>1.0</v>
      </c>
    </row>
    <row r="12" ht="15.75" customHeight="1">
      <c r="A12" s="30">
        <v>422.0</v>
      </c>
      <c r="B12" s="27" t="s">
        <v>285</v>
      </c>
      <c r="C12" s="27" t="s">
        <v>274</v>
      </c>
      <c r="D12" s="27" t="s">
        <v>22</v>
      </c>
      <c r="E12" s="25">
        <v>2.0</v>
      </c>
    </row>
    <row r="13" ht="15.75" customHeight="1">
      <c r="A13" s="30">
        <v>423.0</v>
      </c>
      <c r="B13" s="27" t="s">
        <v>396</v>
      </c>
      <c r="C13" s="27" t="s">
        <v>292</v>
      </c>
      <c r="D13" s="27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onditionalFormatting sqref="A2:D2 A4:D4 A6:D6 A8:D8">
    <cfRule type="expression" dxfId="0" priority="1">
      <formula>$D2="SI"</formula>
    </cfRule>
  </conditionalFormatting>
  <conditionalFormatting sqref="A1:D13">
    <cfRule type="expression" dxfId="0" priority="2">
      <formula>$D1="SI"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7">
        <v>424.0</v>
      </c>
      <c r="B1" s="27" t="s">
        <v>26</v>
      </c>
      <c r="C1" s="27" t="s">
        <v>21</v>
      </c>
      <c r="D1" s="27" t="s">
        <v>22</v>
      </c>
      <c r="E1" s="24">
        <v>1.0</v>
      </c>
    </row>
    <row r="2" ht="15.75" customHeight="1">
      <c r="A2" s="27">
        <v>425.0</v>
      </c>
      <c r="B2" s="27" t="s">
        <v>36</v>
      </c>
      <c r="C2" s="27" t="s">
        <v>21</v>
      </c>
      <c r="D2" s="27" t="s">
        <v>22</v>
      </c>
      <c r="E2" s="29">
        <v>1.0</v>
      </c>
    </row>
    <row r="3" ht="15.75" customHeight="1">
      <c r="A3" s="27">
        <v>426.0</v>
      </c>
      <c r="B3" s="27" t="s">
        <v>81</v>
      </c>
      <c r="C3" s="27" t="s">
        <v>76</v>
      </c>
      <c r="D3" s="27" t="s">
        <v>22</v>
      </c>
    </row>
    <row r="4" ht="15.75" customHeight="1">
      <c r="A4" s="27">
        <v>427.0</v>
      </c>
      <c r="B4" s="27" t="s">
        <v>109</v>
      </c>
      <c r="C4" s="27" t="s">
        <v>94</v>
      </c>
      <c r="D4" s="27" t="s">
        <v>22</v>
      </c>
    </row>
    <row r="5" ht="15.75" customHeight="1">
      <c r="A5" s="27">
        <v>428.0</v>
      </c>
      <c r="B5" s="27" t="s">
        <v>128</v>
      </c>
      <c r="C5" s="27" t="s">
        <v>112</v>
      </c>
      <c r="D5" s="27" t="s">
        <v>22</v>
      </c>
    </row>
    <row r="6" ht="15.75" customHeight="1">
      <c r="A6" s="27">
        <v>429.0</v>
      </c>
      <c r="B6" s="27" t="s">
        <v>161</v>
      </c>
      <c r="C6" s="27" t="s">
        <v>148</v>
      </c>
      <c r="D6" s="27" t="s">
        <v>22</v>
      </c>
      <c r="E6" s="24"/>
    </row>
    <row r="7" ht="15.75" customHeight="1">
      <c r="A7" s="27">
        <v>430.0</v>
      </c>
      <c r="B7" s="27" t="s">
        <v>199</v>
      </c>
      <c r="C7" s="27" t="s">
        <v>184</v>
      </c>
      <c r="D7" s="27" t="s">
        <v>22</v>
      </c>
    </row>
    <row r="8" ht="15.75" customHeight="1">
      <c r="A8" s="27">
        <v>431.0</v>
      </c>
      <c r="B8" s="27" t="s">
        <v>209</v>
      </c>
      <c r="C8" s="27" t="s">
        <v>202</v>
      </c>
      <c r="D8" s="27" t="s">
        <v>22</v>
      </c>
      <c r="E8" s="29">
        <v>1.0</v>
      </c>
    </row>
    <row r="9" ht="15.75" customHeight="1">
      <c r="A9" s="27">
        <v>432.0</v>
      </c>
      <c r="B9" s="27" t="s">
        <v>229</v>
      </c>
      <c r="C9" s="27" t="s">
        <v>220</v>
      </c>
      <c r="D9" s="27" t="s">
        <v>22</v>
      </c>
    </row>
    <row r="10" ht="15.75" customHeight="1">
      <c r="A10" s="27">
        <v>433.0</v>
      </c>
      <c r="B10" s="27" t="s">
        <v>239</v>
      </c>
      <c r="C10" s="27" t="s">
        <v>238</v>
      </c>
      <c r="D10" s="27" t="s">
        <v>22</v>
      </c>
    </row>
    <row r="11" ht="15.75" customHeight="1">
      <c r="A11" s="27">
        <v>434.0</v>
      </c>
      <c r="B11" s="27" t="s">
        <v>275</v>
      </c>
      <c r="C11" s="27" t="s">
        <v>274</v>
      </c>
      <c r="D11" s="27" t="s">
        <v>22</v>
      </c>
      <c r="E11" s="29">
        <v>1.0</v>
      </c>
    </row>
    <row r="12" ht="15.75" customHeight="1">
      <c r="A12" s="27">
        <v>435.0</v>
      </c>
      <c r="B12" s="27" t="s">
        <v>287</v>
      </c>
      <c r="C12" s="27" t="s">
        <v>274</v>
      </c>
      <c r="D12" s="27" t="s">
        <v>22</v>
      </c>
    </row>
    <row r="13" ht="15.75" customHeight="1">
      <c r="A13" s="27">
        <v>436.0</v>
      </c>
      <c r="B13" s="27" t="s">
        <v>321</v>
      </c>
      <c r="C13" s="27" t="s">
        <v>310</v>
      </c>
      <c r="D13" s="27" t="s">
        <v>22</v>
      </c>
      <c r="E13" s="24">
        <v>1.0</v>
      </c>
    </row>
    <row r="14" ht="15.75" customHeight="1">
      <c r="A14" s="27">
        <v>437.0</v>
      </c>
      <c r="B14" s="27" t="s">
        <v>318</v>
      </c>
      <c r="C14" s="27" t="s">
        <v>310</v>
      </c>
      <c r="D14" s="27" t="s">
        <v>22</v>
      </c>
      <c r="E14" s="24">
        <v>1.0</v>
      </c>
    </row>
    <row r="15" ht="15.75" customHeight="1">
      <c r="A15" s="27">
        <v>438.0</v>
      </c>
      <c r="B15" s="27" t="s">
        <v>340</v>
      </c>
      <c r="C15" s="27" t="s">
        <v>328</v>
      </c>
      <c r="D15" s="27" t="s">
        <v>22</v>
      </c>
    </row>
    <row r="16" ht="15.75" customHeight="1">
      <c r="A16" s="27">
        <v>439.0</v>
      </c>
      <c r="B16" s="27" t="s">
        <v>345</v>
      </c>
      <c r="C16" s="27" t="s">
        <v>328</v>
      </c>
      <c r="D16" s="27" t="s">
        <v>22</v>
      </c>
      <c r="E16" s="24">
        <v>1.0</v>
      </c>
    </row>
    <row r="17" ht="15.75" customHeight="1">
      <c r="A17" s="27">
        <v>440.0</v>
      </c>
      <c r="B17" s="27" t="s">
        <v>362</v>
      </c>
      <c r="C17" s="27" t="s">
        <v>346</v>
      </c>
      <c r="D17" s="27" t="s">
        <v>22</v>
      </c>
    </row>
    <row r="18" ht="15.75" customHeight="1">
      <c r="A18" s="27">
        <v>441.0</v>
      </c>
      <c r="B18" s="27" t="s">
        <v>377</v>
      </c>
      <c r="C18" s="27" t="s">
        <v>364</v>
      </c>
      <c r="D18" s="27" t="s">
        <v>22</v>
      </c>
      <c r="E18" s="29">
        <v>1.0</v>
      </c>
      <c r="F18" s="2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8">
    <cfRule type="expression" dxfId="0" priority="1">
      <formula>$D1="SI"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3" width="25.13"/>
    <col customWidth="1" min="4" max="6" width="12.63"/>
  </cols>
  <sheetData>
    <row r="1" ht="15.75" customHeight="1">
      <c r="A1" s="27">
        <v>468.0</v>
      </c>
      <c r="B1" s="27" t="s">
        <v>397</v>
      </c>
      <c r="C1" s="27" t="s">
        <v>398</v>
      </c>
      <c r="D1" s="27" t="s">
        <v>22</v>
      </c>
      <c r="E1" s="24"/>
    </row>
    <row r="2" ht="15.75" customHeight="1">
      <c r="A2" s="27">
        <v>469.0</v>
      </c>
      <c r="B2" s="27" t="s">
        <v>57</v>
      </c>
      <c r="C2" s="27" t="s">
        <v>399</v>
      </c>
      <c r="D2" s="27" t="s">
        <v>22</v>
      </c>
      <c r="E2" s="28">
        <v>1.0</v>
      </c>
    </row>
    <row r="3" ht="15.75" customHeight="1">
      <c r="A3" s="27">
        <v>470.0</v>
      </c>
      <c r="B3" s="27" t="s">
        <v>400</v>
      </c>
      <c r="C3" s="27" t="s">
        <v>401</v>
      </c>
      <c r="D3" s="27"/>
    </row>
    <row r="4" ht="15.75" customHeight="1">
      <c r="A4" s="27">
        <v>471.0</v>
      </c>
      <c r="B4" s="27" t="s">
        <v>86</v>
      </c>
      <c r="C4" s="27" t="s">
        <v>402</v>
      </c>
      <c r="D4" s="27"/>
    </row>
    <row r="5" ht="15.75" customHeight="1">
      <c r="A5" s="27">
        <v>472.0</v>
      </c>
      <c r="B5" s="27" t="s">
        <v>90</v>
      </c>
      <c r="C5" s="27" t="s">
        <v>402</v>
      </c>
      <c r="D5" s="27"/>
    </row>
    <row r="6" ht="15.75" customHeight="1">
      <c r="A6" s="27">
        <v>473.0</v>
      </c>
      <c r="B6" s="27" t="s">
        <v>237</v>
      </c>
      <c r="C6" s="27" t="s">
        <v>403</v>
      </c>
      <c r="D6" s="27" t="s">
        <v>22</v>
      </c>
      <c r="E6" s="24">
        <v>1.0</v>
      </c>
    </row>
    <row r="7" ht="15.75" customHeight="1">
      <c r="A7" s="27">
        <v>474.0</v>
      </c>
      <c r="B7" s="27" t="s">
        <v>235</v>
      </c>
      <c r="C7" s="27" t="s">
        <v>403</v>
      </c>
      <c r="D7" s="27" t="s">
        <v>22</v>
      </c>
    </row>
    <row r="8" ht="15.75" customHeight="1">
      <c r="A8" s="27">
        <v>475.0</v>
      </c>
      <c r="B8" s="27" t="s">
        <v>404</v>
      </c>
      <c r="C8" s="27" t="s">
        <v>398</v>
      </c>
      <c r="D8" s="27" t="s">
        <v>22</v>
      </c>
    </row>
    <row r="9" ht="15.75" customHeight="1">
      <c r="A9" s="27">
        <v>476.0</v>
      </c>
      <c r="B9" s="27" t="s">
        <v>405</v>
      </c>
      <c r="C9" s="27" t="s">
        <v>398</v>
      </c>
      <c r="D9" s="27"/>
    </row>
    <row r="10" ht="15.75" customHeight="1">
      <c r="A10" s="27">
        <v>477.0</v>
      </c>
      <c r="B10" s="27" t="s">
        <v>406</v>
      </c>
      <c r="C10" s="27" t="s">
        <v>398</v>
      </c>
      <c r="D10" s="27" t="s">
        <v>22</v>
      </c>
    </row>
    <row r="11" ht="15.75" customHeight="1">
      <c r="A11" s="27">
        <v>478.0</v>
      </c>
      <c r="B11" s="27" t="s">
        <v>407</v>
      </c>
      <c r="C11" s="27" t="s">
        <v>398</v>
      </c>
      <c r="D11" s="27" t="s">
        <v>22</v>
      </c>
    </row>
    <row r="12" ht="15.75" customHeight="1">
      <c r="A12" s="30" t="s">
        <v>408</v>
      </c>
      <c r="B12" s="27" t="s">
        <v>329</v>
      </c>
      <c r="C12" s="27" t="s">
        <v>328</v>
      </c>
      <c r="D12" s="27" t="s">
        <v>22</v>
      </c>
    </row>
    <row r="13" ht="15.75" customHeight="1">
      <c r="A13" s="30" t="s">
        <v>409</v>
      </c>
      <c r="B13" s="27" t="s">
        <v>113</v>
      </c>
      <c r="C13" s="27" t="s">
        <v>410</v>
      </c>
      <c r="D13" s="27"/>
    </row>
    <row r="14" ht="15.75" customHeight="1">
      <c r="A14" s="30" t="s">
        <v>411</v>
      </c>
      <c r="B14" s="27" t="s">
        <v>224</v>
      </c>
      <c r="C14" s="27" t="s">
        <v>220</v>
      </c>
      <c r="D14" s="27" t="s">
        <v>22</v>
      </c>
      <c r="E14" s="24">
        <v>1.0</v>
      </c>
    </row>
    <row r="15" ht="15.75" customHeight="1">
      <c r="A15" s="30" t="s">
        <v>412</v>
      </c>
      <c r="B15" s="27" t="s">
        <v>316</v>
      </c>
      <c r="C15" s="27" t="s">
        <v>310</v>
      </c>
      <c r="D15" s="27" t="s">
        <v>22</v>
      </c>
      <c r="E15" s="29">
        <v>2.0</v>
      </c>
    </row>
    <row r="16" ht="15.75" customHeight="1">
      <c r="A16" s="30" t="s">
        <v>413</v>
      </c>
      <c r="B16" s="27" t="s">
        <v>414</v>
      </c>
      <c r="C16" s="27" t="s">
        <v>415</v>
      </c>
      <c r="D16" s="27" t="s">
        <v>22</v>
      </c>
      <c r="E16" s="24"/>
    </row>
    <row r="17" ht="15.75" customHeight="1">
      <c r="A17" s="30" t="s">
        <v>416</v>
      </c>
      <c r="B17" s="27" t="s">
        <v>336</v>
      </c>
      <c r="C17" s="27" t="s">
        <v>328</v>
      </c>
      <c r="D17" s="27"/>
    </row>
    <row r="18" ht="15.75" customHeight="1">
      <c r="A18" s="30" t="s">
        <v>417</v>
      </c>
      <c r="B18" s="27" t="s">
        <v>418</v>
      </c>
      <c r="C18" s="27" t="s">
        <v>415</v>
      </c>
      <c r="D18" s="27" t="s">
        <v>22</v>
      </c>
      <c r="E18" s="24"/>
    </row>
    <row r="19" ht="15.75" customHeight="1">
      <c r="A19" s="30" t="s">
        <v>419</v>
      </c>
      <c r="B19" s="27" t="s">
        <v>420</v>
      </c>
      <c r="C19" s="27" t="s">
        <v>346</v>
      </c>
      <c r="D19" s="27" t="s">
        <v>22</v>
      </c>
      <c r="E19" s="29">
        <v>1.0</v>
      </c>
    </row>
    <row r="20" ht="15.75" customHeight="1">
      <c r="A20" s="30" t="s">
        <v>421</v>
      </c>
      <c r="B20" s="27" t="s">
        <v>104</v>
      </c>
      <c r="C20" s="27" t="s">
        <v>94</v>
      </c>
      <c r="D20" s="27" t="s">
        <v>22</v>
      </c>
      <c r="E20" s="28">
        <v>1.0</v>
      </c>
    </row>
    <row r="21" ht="15.75" customHeight="1">
      <c r="A21" s="30" t="s">
        <v>422</v>
      </c>
      <c r="B21" s="27" t="s">
        <v>423</v>
      </c>
      <c r="C21" s="27" t="s">
        <v>220</v>
      </c>
      <c r="D21" s="27" t="s">
        <v>22</v>
      </c>
      <c r="E21" s="24"/>
    </row>
    <row r="22" ht="15.75" customHeight="1">
      <c r="A22" s="30" t="s">
        <v>424</v>
      </c>
      <c r="B22" s="27" t="s">
        <v>70</v>
      </c>
      <c r="C22" s="27" t="s">
        <v>415</v>
      </c>
      <c r="D22" s="27" t="s">
        <v>22</v>
      </c>
      <c r="E22" s="24">
        <v>1.0</v>
      </c>
    </row>
    <row r="23" ht="15.75" customHeight="1">
      <c r="A23" s="30" t="s">
        <v>425</v>
      </c>
      <c r="B23" s="27" t="s">
        <v>161</v>
      </c>
      <c r="C23" s="27" t="s">
        <v>148</v>
      </c>
      <c r="D23" s="27"/>
    </row>
    <row r="24" ht="15.75" customHeight="1">
      <c r="A24" s="30" t="s">
        <v>426</v>
      </c>
      <c r="B24" s="27" t="s">
        <v>378</v>
      </c>
      <c r="C24" s="27" t="s">
        <v>427</v>
      </c>
      <c r="D24" s="27"/>
    </row>
    <row r="25" ht="15.75" customHeight="1">
      <c r="A25" s="30" t="s">
        <v>428</v>
      </c>
      <c r="B25" s="27" t="s">
        <v>93</v>
      </c>
      <c r="C25" s="27" t="s">
        <v>76</v>
      </c>
      <c r="D25" s="27" t="s">
        <v>22</v>
      </c>
      <c r="E25" s="29">
        <v>1.0</v>
      </c>
    </row>
    <row r="26" ht="15.75" customHeight="1">
      <c r="A26" s="30" t="s">
        <v>429</v>
      </c>
      <c r="B26" s="27" t="s">
        <v>430</v>
      </c>
      <c r="C26" s="27" t="s">
        <v>427</v>
      </c>
      <c r="D26" s="27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6">
    <cfRule type="expression" dxfId="0" priority="1">
      <formula>$D1="SI"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6" width="12.63"/>
  </cols>
  <sheetData>
    <row r="1" ht="15.75" customHeight="1">
      <c r="A1" s="27">
        <v>442.0</v>
      </c>
      <c r="B1" s="27" t="s">
        <v>41</v>
      </c>
      <c r="C1" s="27" t="s">
        <v>40</v>
      </c>
      <c r="D1" s="27" t="s">
        <v>22</v>
      </c>
    </row>
    <row r="2" ht="15.75" customHeight="1">
      <c r="A2" s="27">
        <v>443.0</v>
      </c>
      <c r="B2" s="27" t="s">
        <v>49</v>
      </c>
      <c r="C2" s="27" t="s">
        <v>40</v>
      </c>
      <c r="D2" s="27"/>
    </row>
    <row r="3" ht="15.75" customHeight="1">
      <c r="A3" s="27">
        <v>444.0</v>
      </c>
      <c r="B3" s="27" t="s">
        <v>59</v>
      </c>
      <c r="C3" s="27" t="s">
        <v>58</v>
      </c>
      <c r="D3" s="27" t="s">
        <v>22</v>
      </c>
    </row>
    <row r="4" ht="15.75" customHeight="1">
      <c r="A4" s="27">
        <v>445.0</v>
      </c>
      <c r="B4" s="27" t="s">
        <v>61</v>
      </c>
      <c r="C4" s="27" t="s">
        <v>58</v>
      </c>
      <c r="D4" s="27" t="s">
        <v>22</v>
      </c>
      <c r="E4" s="24">
        <v>2.0</v>
      </c>
    </row>
    <row r="5" ht="15.75" customHeight="1">
      <c r="A5" s="27">
        <v>446.0</v>
      </c>
      <c r="B5" s="27" t="s">
        <v>431</v>
      </c>
      <c r="C5" s="27" t="s">
        <v>58</v>
      </c>
      <c r="D5" s="27" t="s">
        <v>22</v>
      </c>
    </row>
    <row r="6" ht="15.75" customHeight="1">
      <c r="A6" s="27">
        <v>447.0</v>
      </c>
      <c r="B6" s="27" t="s">
        <v>70</v>
      </c>
      <c r="C6" s="27" t="s">
        <v>58</v>
      </c>
      <c r="D6" s="27" t="s">
        <v>22</v>
      </c>
      <c r="E6" s="29">
        <v>1.0</v>
      </c>
    </row>
    <row r="7" ht="15.75" customHeight="1">
      <c r="A7" s="27">
        <v>448.0</v>
      </c>
      <c r="B7" s="27" t="s">
        <v>75</v>
      </c>
      <c r="C7" s="27" t="s">
        <v>58</v>
      </c>
      <c r="D7" s="27" t="s">
        <v>22</v>
      </c>
      <c r="E7" s="24">
        <v>1.0</v>
      </c>
    </row>
    <row r="8" ht="15.75" customHeight="1">
      <c r="A8" s="27">
        <v>449.0</v>
      </c>
      <c r="B8" s="27" t="s">
        <v>79</v>
      </c>
      <c r="C8" s="27" t="s">
        <v>76</v>
      </c>
      <c r="D8" s="27" t="s">
        <v>22</v>
      </c>
    </row>
    <row r="9" ht="15.75" customHeight="1">
      <c r="A9" s="27">
        <v>450.0</v>
      </c>
      <c r="B9" s="27" t="s">
        <v>83</v>
      </c>
      <c r="C9" s="27" t="s">
        <v>76</v>
      </c>
      <c r="D9" s="27" t="s">
        <v>22</v>
      </c>
    </row>
    <row r="10" ht="15.75" customHeight="1">
      <c r="A10" s="27">
        <v>451.0</v>
      </c>
      <c r="B10" s="27" t="s">
        <v>89</v>
      </c>
      <c r="C10" s="27" t="s">
        <v>76</v>
      </c>
      <c r="D10" s="27" t="s">
        <v>22</v>
      </c>
      <c r="E10" s="29">
        <v>1.0</v>
      </c>
    </row>
    <row r="11" ht="15.75" customHeight="1">
      <c r="A11" s="27">
        <v>452.0</v>
      </c>
      <c r="B11" s="27" t="s">
        <v>92</v>
      </c>
      <c r="C11" s="27" t="s">
        <v>76</v>
      </c>
      <c r="D11" s="27" t="s">
        <v>22</v>
      </c>
      <c r="E11" s="24">
        <v>1.0</v>
      </c>
    </row>
    <row r="12" ht="15.75" customHeight="1">
      <c r="A12" s="27">
        <v>453.0</v>
      </c>
      <c r="B12" s="27" t="s">
        <v>93</v>
      </c>
      <c r="C12" s="27" t="s">
        <v>76</v>
      </c>
      <c r="D12" s="27"/>
    </row>
    <row r="13" ht="15.75" customHeight="1">
      <c r="A13" s="27">
        <v>454.0</v>
      </c>
      <c r="B13" s="27" t="s">
        <v>107</v>
      </c>
      <c r="C13" s="27" t="s">
        <v>94</v>
      </c>
      <c r="D13" s="27" t="s">
        <v>22</v>
      </c>
      <c r="E13" s="24"/>
    </row>
    <row r="14" ht="15.75" customHeight="1">
      <c r="A14" s="27">
        <v>455.0</v>
      </c>
      <c r="B14" s="27" t="s">
        <v>106</v>
      </c>
      <c r="C14" s="27" t="s">
        <v>94</v>
      </c>
      <c r="D14" s="27" t="s">
        <v>22</v>
      </c>
      <c r="E14" s="28">
        <v>2.0</v>
      </c>
    </row>
    <row r="15" ht="15.75" customHeight="1">
      <c r="A15" s="27">
        <v>456.0</v>
      </c>
      <c r="B15" s="27" t="s">
        <v>108</v>
      </c>
      <c r="C15" s="27" t="s">
        <v>94</v>
      </c>
      <c r="D15" s="27" t="s">
        <v>22</v>
      </c>
    </row>
    <row r="16" ht="15.75" customHeight="1">
      <c r="A16" s="27">
        <v>457.0</v>
      </c>
      <c r="B16" s="27" t="s">
        <v>221</v>
      </c>
      <c r="C16" s="27" t="s">
        <v>220</v>
      </c>
      <c r="D16" s="27" t="s">
        <v>22</v>
      </c>
      <c r="E16" s="24">
        <v>1.0</v>
      </c>
    </row>
    <row r="17" ht="15.75" customHeight="1">
      <c r="A17" s="27">
        <v>458.0</v>
      </c>
      <c r="B17" s="27" t="s">
        <v>228</v>
      </c>
      <c r="C17" s="27" t="s">
        <v>220</v>
      </c>
      <c r="D17" s="27" t="s">
        <v>22</v>
      </c>
      <c r="E17" s="28">
        <v>2.0</v>
      </c>
    </row>
    <row r="18" ht="15.75" customHeight="1">
      <c r="A18" s="27">
        <v>459.0</v>
      </c>
      <c r="B18" s="27" t="s">
        <v>230</v>
      </c>
      <c r="C18" s="27" t="s">
        <v>220</v>
      </c>
      <c r="D18" s="27" t="s">
        <v>22</v>
      </c>
      <c r="E18" s="24"/>
    </row>
    <row r="19" ht="15.75" customHeight="1">
      <c r="A19" s="27">
        <v>460.0</v>
      </c>
      <c r="B19" s="27" t="s">
        <v>233</v>
      </c>
      <c r="C19" s="27" t="s">
        <v>220</v>
      </c>
      <c r="D19" s="27" t="s">
        <v>22</v>
      </c>
      <c r="E19" s="29">
        <v>1.0</v>
      </c>
    </row>
    <row r="20" ht="15.75" customHeight="1">
      <c r="A20" s="27">
        <v>461.0</v>
      </c>
      <c r="B20" s="27" t="s">
        <v>272</v>
      </c>
      <c r="C20" s="27" t="s">
        <v>256</v>
      </c>
      <c r="D20" s="27" t="s">
        <v>22</v>
      </c>
    </row>
    <row r="21" ht="15.75" customHeight="1">
      <c r="A21" s="27">
        <v>462.0</v>
      </c>
      <c r="B21" s="27" t="s">
        <v>303</v>
      </c>
      <c r="C21" s="27" t="s">
        <v>292</v>
      </c>
      <c r="D21" s="27" t="s">
        <v>22</v>
      </c>
      <c r="E21" s="24">
        <v>1.0</v>
      </c>
    </row>
    <row r="22" ht="15.75" customHeight="1">
      <c r="A22" s="27">
        <v>463.0</v>
      </c>
      <c r="B22" s="27" t="s">
        <v>323</v>
      </c>
      <c r="C22" s="27" t="s">
        <v>310</v>
      </c>
      <c r="D22" s="27" t="s">
        <v>22</v>
      </c>
    </row>
    <row r="23" ht="15.75" customHeight="1">
      <c r="A23" s="27">
        <v>464.0</v>
      </c>
      <c r="B23" s="27" t="s">
        <v>341</v>
      </c>
      <c r="C23" s="27" t="s">
        <v>328</v>
      </c>
      <c r="D23" s="27" t="s">
        <v>22</v>
      </c>
    </row>
    <row r="24" ht="15.75" customHeight="1">
      <c r="A24" s="27">
        <v>465.0</v>
      </c>
      <c r="B24" s="27" t="s">
        <v>357</v>
      </c>
      <c r="C24" s="27" t="s">
        <v>346</v>
      </c>
      <c r="D24" s="27" t="s">
        <v>22</v>
      </c>
      <c r="E24" s="29">
        <v>1.0</v>
      </c>
    </row>
    <row r="25" ht="15.75" customHeight="1">
      <c r="A25" s="27">
        <v>466.0</v>
      </c>
      <c r="B25" s="27" t="s">
        <v>376</v>
      </c>
      <c r="C25" s="27" t="s">
        <v>364</v>
      </c>
      <c r="D25" s="27" t="s">
        <v>22</v>
      </c>
    </row>
    <row r="26" ht="15.75" customHeight="1">
      <c r="A26" s="27">
        <v>467.0</v>
      </c>
      <c r="B26" s="27" t="s">
        <v>379</v>
      </c>
      <c r="C26" s="27" t="s">
        <v>364</v>
      </c>
      <c r="D26" s="27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6">
    <cfRule type="expression" dxfId="0" priority="1">
      <formula>$D1="SI"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3" width="17.75"/>
    <col customWidth="1" min="4" max="6" width="12.63"/>
    <col customWidth="1" min="8" max="8" width="21.0"/>
    <col customWidth="1" min="9" max="9" width="21.38"/>
  </cols>
  <sheetData>
    <row r="1" ht="15.75" customHeight="1">
      <c r="A1" s="27" t="s">
        <v>432</v>
      </c>
      <c r="B1" s="27" t="s">
        <v>433</v>
      </c>
      <c r="C1" s="27" t="s">
        <v>434</v>
      </c>
      <c r="D1" s="27" t="s">
        <v>22</v>
      </c>
    </row>
    <row r="2" ht="15.75" customHeight="1">
      <c r="A2" s="27" t="s">
        <v>435</v>
      </c>
      <c r="B2" s="27" t="s">
        <v>436</v>
      </c>
      <c r="C2" s="27" t="s">
        <v>434</v>
      </c>
      <c r="D2" s="27" t="s">
        <v>22</v>
      </c>
      <c r="E2" s="29">
        <v>1.0</v>
      </c>
    </row>
    <row r="3" ht="15.75" customHeight="1">
      <c r="A3" s="27" t="s">
        <v>437</v>
      </c>
      <c r="B3" s="27" t="s">
        <v>438</v>
      </c>
      <c r="C3" s="27" t="s">
        <v>434</v>
      </c>
      <c r="D3" s="27" t="s">
        <v>22</v>
      </c>
    </row>
    <row r="4" ht="15.75" customHeight="1">
      <c r="A4" s="27" t="s">
        <v>439</v>
      </c>
      <c r="B4" s="27" t="s">
        <v>440</v>
      </c>
      <c r="C4" s="27" t="s">
        <v>434</v>
      </c>
      <c r="D4" s="27"/>
    </row>
    <row r="5" ht="15.75" customHeight="1">
      <c r="A5" s="27" t="s">
        <v>441</v>
      </c>
      <c r="B5" s="27" t="s">
        <v>442</v>
      </c>
      <c r="C5" s="27" t="s">
        <v>434</v>
      </c>
      <c r="D5" s="27" t="s">
        <v>22</v>
      </c>
    </row>
    <row r="6" ht="15.75" customHeight="1">
      <c r="A6" s="27" t="s">
        <v>443</v>
      </c>
      <c r="B6" s="27" t="s">
        <v>444</v>
      </c>
      <c r="C6" s="27" t="s">
        <v>445</v>
      </c>
      <c r="D6" s="27"/>
    </row>
    <row r="7" ht="15.75" customHeight="1">
      <c r="A7" s="27" t="s">
        <v>446</v>
      </c>
      <c r="B7" s="27" t="s">
        <v>447</v>
      </c>
      <c r="C7" s="27" t="s">
        <v>445</v>
      </c>
      <c r="D7" s="27" t="s">
        <v>22</v>
      </c>
      <c r="E7" s="29">
        <v>1.0</v>
      </c>
    </row>
    <row r="8" ht="15.75" customHeight="1">
      <c r="A8" s="27" t="s">
        <v>448</v>
      </c>
      <c r="B8" s="27" t="s">
        <v>449</v>
      </c>
      <c r="C8" s="27" t="s">
        <v>445</v>
      </c>
      <c r="D8" s="27" t="s">
        <v>22</v>
      </c>
    </row>
    <row r="9" ht="15.75" customHeight="1">
      <c r="A9" s="27" t="s">
        <v>450</v>
      </c>
      <c r="B9" s="27" t="s">
        <v>451</v>
      </c>
      <c r="C9" s="27" t="s">
        <v>445</v>
      </c>
      <c r="D9" s="27" t="s">
        <v>22</v>
      </c>
    </row>
    <row r="10" ht="15.75" customHeight="1">
      <c r="A10" s="27" t="s">
        <v>452</v>
      </c>
      <c r="B10" s="27" t="s">
        <v>453</v>
      </c>
      <c r="C10" s="27" t="s">
        <v>454</v>
      </c>
      <c r="D10" s="27" t="s">
        <v>22</v>
      </c>
      <c r="E10" s="29">
        <v>1.0</v>
      </c>
    </row>
    <row r="11" ht="15.75" customHeight="1">
      <c r="A11" s="27" t="s">
        <v>455</v>
      </c>
      <c r="B11" s="27" t="s">
        <v>456</v>
      </c>
      <c r="C11" s="27" t="s">
        <v>454</v>
      </c>
      <c r="D11" s="27"/>
    </row>
    <row r="12" ht="15.75" customHeight="1">
      <c r="A12" s="27" t="s">
        <v>457</v>
      </c>
      <c r="B12" s="27" t="s">
        <v>458</v>
      </c>
      <c r="C12" s="27" t="s">
        <v>454</v>
      </c>
      <c r="D12" s="27" t="s">
        <v>22</v>
      </c>
    </row>
    <row r="13" ht="15.75" customHeight="1">
      <c r="A13" s="27" t="s">
        <v>459</v>
      </c>
      <c r="B13" s="27" t="s">
        <v>460</v>
      </c>
      <c r="C13" s="27" t="s">
        <v>454</v>
      </c>
      <c r="D13" s="27" t="s">
        <v>22</v>
      </c>
    </row>
    <row r="14" ht="15.75" customHeight="1">
      <c r="A14" s="27" t="s">
        <v>461</v>
      </c>
      <c r="B14" s="27" t="s">
        <v>462</v>
      </c>
      <c r="C14" s="27" t="s">
        <v>454</v>
      </c>
      <c r="D14" s="27"/>
    </row>
    <row r="15" ht="15.75" customHeight="1">
      <c r="A15" s="27" t="s">
        <v>463</v>
      </c>
      <c r="B15" s="27" t="s">
        <v>464</v>
      </c>
      <c r="C15" s="27" t="s">
        <v>454</v>
      </c>
      <c r="D15" s="27"/>
    </row>
    <row r="16" ht="15.75" customHeight="1">
      <c r="A16" s="27" t="s">
        <v>465</v>
      </c>
      <c r="B16" s="27" t="s">
        <v>143</v>
      </c>
      <c r="C16" s="27" t="s">
        <v>454</v>
      </c>
      <c r="D16" s="27"/>
    </row>
    <row r="17" ht="15.75" customHeight="1">
      <c r="A17" s="27" t="s">
        <v>466</v>
      </c>
      <c r="B17" s="27" t="s">
        <v>467</v>
      </c>
      <c r="C17" s="27" t="s">
        <v>454</v>
      </c>
      <c r="D17" s="27" t="s">
        <v>22</v>
      </c>
    </row>
    <row r="18" ht="15.75" customHeight="1">
      <c r="A18" s="27" t="s">
        <v>468</v>
      </c>
      <c r="B18" s="27" t="s">
        <v>469</v>
      </c>
      <c r="C18" s="27" t="s">
        <v>454</v>
      </c>
      <c r="D18" s="27"/>
    </row>
    <row r="19" ht="15.75" customHeight="1">
      <c r="A19" s="27" t="s">
        <v>470</v>
      </c>
      <c r="B19" s="27" t="s">
        <v>471</v>
      </c>
      <c r="C19" s="27" t="s">
        <v>472</v>
      </c>
      <c r="D19" s="27" t="s">
        <v>22</v>
      </c>
    </row>
    <row r="20" ht="15.75" customHeight="1">
      <c r="A20" s="27" t="s">
        <v>473</v>
      </c>
      <c r="B20" s="27" t="s">
        <v>386</v>
      </c>
      <c r="C20" s="27" t="s">
        <v>472</v>
      </c>
      <c r="D20" s="27"/>
    </row>
    <row r="21" ht="15.75" customHeight="1">
      <c r="A21" s="27" t="s">
        <v>474</v>
      </c>
      <c r="B21" s="27" t="s">
        <v>475</v>
      </c>
      <c r="C21" s="27" t="s">
        <v>472</v>
      </c>
      <c r="D21" s="27" t="s">
        <v>22</v>
      </c>
      <c r="E21" s="29">
        <v>1.0</v>
      </c>
    </row>
    <row r="22" ht="15.75" customHeight="1">
      <c r="A22" s="27" t="s">
        <v>476</v>
      </c>
      <c r="B22" s="27" t="s">
        <v>477</v>
      </c>
      <c r="C22" s="27" t="s">
        <v>472</v>
      </c>
      <c r="D22" s="27" t="s">
        <v>22</v>
      </c>
    </row>
    <row r="23" ht="15.75" customHeight="1">
      <c r="A23" s="27" t="s">
        <v>478</v>
      </c>
      <c r="B23" s="27" t="s">
        <v>479</v>
      </c>
      <c r="C23" s="27" t="s">
        <v>472</v>
      </c>
      <c r="D23" s="27" t="s">
        <v>22</v>
      </c>
    </row>
    <row r="24" ht="15.75" customHeight="1">
      <c r="A24" s="27" t="s">
        <v>480</v>
      </c>
      <c r="B24" s="27" t="s">
        <v>481</v>
      </c>
      <c r="C24" s="27" t="s">
        <v>482</v>
      </c>
      <c r="D24" s="27"/>
    </row>
    <row r="25" ht="15.75" customHeight="1">
      <c r="A25" s="27" t="s">
        <v>483</v>
      </c>
      <c r="B25" s="27" t="s">
        <v>484</v>
      </c>
      <c r="C25" s="27" t="s">
        <v>482</v>
      </c>
      <c r="D25" s="27"/>
    </row>
    <row r="26" ht="15.75" customHeight="1">
      <c r="A26" s="27" t="s">
        <v>485</v>
      </c>
      <c r="B26" s="27" t="s">
        <v>486</v>
      </c>
      <c r="C26" s="27" t="s">
        <v>482</v>
      </c>
      <c r="D26" s="27"/>
    </row>
    <row r="27" ht="15.75" customHeight="1">
      <c r="A27" s="27" t="s">
        <v>487</v>
      </c>
      <c r="B27" s="27" t="s">
        <v>488</v>
      </c>
      <c r="C27" s="27" t="s">
        <v>482</v>
      </c>
      <c r="D27" s="27" t="s">
        <v>22</v>
      </c>
    </row>
    <row r="28" ht="15.75" customHeight="1">
      <c r="A28" s="27" t="s">
        <v>489</v>
      </c>
      <c r="B28" s="27" t="s">
        <v>390</v>
      </c>
      <c r="C28" s="27" t="s">
        <v>482</v>
      </c>
      <c r="D28" s="27" t="s">
        <v>22</v>
      </c>
    </row>
    <row r="29" ht="15.75" customHeight="1">
      <c r="A29" s="27" t="s">
        <v>490</v>
      </c>
      <c r="B29" s="27" t="s">
        <v>491</v>
      </c>
      <c r="C29" s="27" t="s">
        <v>482</v>
      </c>
      <c r="D29" s="27" t="s">
        <v>22</v>
      </c>
      <c r="E29" s="29">
        <v>1.0</v>
      </c>
    </row>
    <row r="30" ht="15.75" customHeight="1">
      <c r="A30" s="27" t="s">
        <v>492</v>
      </c>
      <c r="B30" s="27" t="s">
        <v>133</v>
      </c>
      <c r="C30" s="27" t="s">
        <v>493</v>
      </c>
      <c r="D30" s="27" t="s">
        <v>22</v>
      </c>
    </row>
    <row r="31" ht="15.75" customHeight="1">
      <c r="A31" s="27" t="s">
        <v>494</v>
      </c>
      <c r="B31" s="27" t="s">
        <v>495</v>
      </c>
      <c r="C31" s="27" t="s">
        <v>493</v>
      </c>
      <c r="D31" s="27" t="s">
        <v>22</v>
      </c>
    </row>
    <row r="32" ht="15.75" customHeight="1">
      <c r="A32" s="27" t="s">
        <v>496</v>
      </c>
      <c r="B32" s="27" t="s">
        <v>497</v>
      </c>
      <c r="C32" s="27" t="s">
        <v>493</v>
      </c>
      <c r="D32" s="27"/>
    </row>
    <row r="33" ht="15.75" customHeight="1">
      <c r="A33" s="27" t="s">
        <v>498</v>
      </c>
      <c r="B33" s="27" t="s">
        <v>499</v>
      </c>
      <c r="C33" s="27" t="s">
        <v>493</v>
      </c>
      <c r="D33" s="27"/>
    </row>
    <row r="34" ht="15.75" customHeight="1">
      <c r="A34" s="27" t="s">
        <v>500</v>
      </c>
      <c r="B34" s="27" t="s">
        <v>501</v>
      </c>
      <c r="C34" s="27" t="s">
        <v>493</v>
      </c>
      <c r="D34" s="27" t="s">
        <v>22</v>
      </c>
    </row>
    <row r="35" ht="15.75" customHeight="1">
      <c r="A35" s="27" t="s">
        <v>502</v>
      </c>
      <c r="B35" s="27" t="s">
        <v>503</v>
      </c>
      <c r="C35" s="27" t="s">
        <v>493</v>
      </c>
      <c r="D35" s="27" t="s">
        <v>22</v>
      </c>
      <c r="E35" s="29">
        <v>1.0</v>
      </c>
    </row>
    <row r="36" ht="15.75" customHeight="1">
      <c r="A36" s="27" t="s">
        <v>504</v>
      </c>
      <c r="B36" s="27" t="s">
        <v>505</v>
      </c>
      <c r="C36" s="27" t="s">
        <v>493</v>
      </c>
      <c r="D36" s="27" t="s">
        <v>22</v>
      </c>
    </row>
    <row r="37" ht="15.75" customHeight="1">
      <c r="A37" s="27" t="s">
        <v>506</v>
      </c>
      <c r="B37" s="27" t="s">
        <v>507</v>
      </c>
      <c r="C37" s="27" t="s">
        <v>508</v>
      </c>
      <c r="D37" s="27" t="s">
        <v>22</v>
      </c>
    </row>
    <row r="38" ht="15.75" customHeight="1">
      <c r="A38" s="27" t="s">
        <v>509</v>
      </c>
      <c r="B38" s="27" t="s">
        <v>510</v>
      </c>
      <c r="C38" s="27" t="s">
        <v>508</v>
      </c>
      <c r="D38" s="27"/>
    </row>
    <row r="39" ht="15.75" customHeight="1">
      <c r="A39" s="27" t="s">
        <v>511</v>
      </c>
      <c r="B39" s="27" t="s">
        <v>512</v>
      </c>
      <c r="C39" s="27" t="s">
        <v>508</v>
      </c>
      <c r="D39" s="27"/>
    </row>
    <row r="40" ht="15.75" customHeight="1">
      <c r="A40" s="27" t="s">
        <v>513</v>
      </c>
      <c r="B40" s="27" t="s">
        <v>514</v>
      </c>
      <c r="C40" s="27" t="s">
        <v>508</v>
      </c>
      <c r="D40" s="27"/>
    </row>
    <row r="41" ht="15.75" customHeight="1">
      <c r="A41" s="27" t="s">
        <v>515</v>
      </c>
      <c r="B41" s="27" t="s">
        <v>516</v>
      </c>
      <c r="C41" s="27" t="s">
        <v>517</v>
      </c>
      <c r="D41" s="27"/>
    </row>
    <row r="42" ht="15.75" customHeight="1">
      <c r="A42" s="27" t="s">
        <v>518</v>
      </c>
      <c r="B42" s="27" t="s">
        <v>519</v>
      </c>
      <c r="C42" s="27" t="s">
        <v>517</v>
      </c>
      <c r="D42" s="27" t="s">
        <v>22</v>
      </c>
    </row>
    <row r="43" ht="15.75" customHeight="1">
      <c r="A43" s="27" t="s">
        <v>520</v>
      </c>
      <c r="B43" s="27" t="s">
        <v>521</v>
      </c>
      <c r="C43" s="27" t="s">
        <v>517</v>
      </c>
      <c r="D43" s="27"/>
    </row>
    <row r="44" ht="15.75" customHeight="1">
      <c r="A44" s="27" t="s">
        <v>522</v>
      </c>
      <c r="B44" s="27" t="s">
        <v>523</v>
      </c>
      <c r="C44" s="27" t="s">
        <v>517</v>
      </c>
      <c r="D44" s="27" t="s">
        <v>22</v>
      </c>
    </row>
    <row r="45" ht="15.75" customHeight="1">
      <c r="A45" s="27" t="s">
        <v>524</v>
      </c>
      <c r="B45" s="27" t="s">
        <v>525</v>
      </c>
      <c r="C45" s="27" t="s">
        <v>526</v>
      </c>
      <c r="D45" s="27"/>
    </row>
    <row r="46" ht="15.75" customHeight="1">
      <c r="A46" s="27" t="s">
        <v>527</v>
      </c>
      <c r="B46" s="27" t="s">
        <v>528</v>
      </c>
      <c r="C46" s="27" t="s">
        <v>526</v>
      </c>
      <c r="D46" s="27" t="s">
        <v>22</v>
      </c>
    </row>
    <row r="47" ht="15.75" customHeight="1">
      <c r="A47" s="27" t="s">
        <v>529</v>
      </c>
      <c r="B47" s="27" t="s">
        <v>530</v>
      </c>
      <c r="C47" s="27" t="s">
        <v>526</v>
      </c>
      <c r="D47" s="27"/>
    </row>
    <row r="48" ht="15.75" customHeight="1">
      <c r="A48" s="27" t="s">
        <v>531</v>
      </c>
      <c r="B48" s="27" t="s">
        <v>532</v>
      </c>
      <c r="C48" s="27" t="s">
        <v>526</v>
      </c>
      <c r="D48" s="27"/>
    </row>
    <row r="49" ht="15.75" customHeight="1">
      <c r="A49" s="27" t="s">
        <v>533</v>
      </c>
      <c r="B49" s="27" t="s">
        <v>534</v>
      </c>
      <c r="C49" s="27" t="s">
        <v>526</v>
      </c>
      <c r="D49" s="27" t="s">
        <v>22</v>
      </c>
    </row>
    <row r="50" ht="15.75" customHeight="1">
      <c r="A50" s="27" t="s">
        <v>535</v>
      </c>
      <c r="B50" s="27" t="s">
        <v>536</v>
      </c>
      <c r="C50" s="27" t="s">
        <v>537</v>
      </c>
      <c r="D50" s="27" t="s">
        <v>22</v>
      </c>
    </row>
    <row r="51" ht="15.75" customHeight="1">
      <c r="A51" s="27" t="s">
        <v>538</v>
      </c>
      <c r="B51" s="27" t="s">
        <v>122</v>
      </c>
      <c r="C51" s="27" t="s">
        <v>537</v>
      </c>
      <c r="D51" s="27"/>
    </row>
    <row r="52" ht="15.75" customHeight="1">
      <c r="A52" s="27" t="s">
        <v>539</v>
      </c>
      <c r="B52" s="27" t="s">
        <v>540</v>
      </c>
      <c r="C52" s="27" t="s">
        <v>537</v>
      </c>
      <c r="D52" s="27"/>
    </row>
    <row r="53" ht="15.75" customHeight="1">
      <c r="A53" s="27" t="s">
        <v>541</v>
      </c>
      <c r="B53" s="27" t="s">
        <v>542</v>
      </c>
      <c r="C53" s="27" t="s">
        <v>537</v>
      </c>
      <c r="D53" s="27"/>
    </row>
    <row r="54" ht="15.75" customHeight="1">
      <c r="A54" s="27" t="s">
        <v>543</v>
      </c>
      <c r="B54" s="27" t="s">
        <v>544</v>
      </c>
      <c r="C54" s="27" t="s">
        <v>537</v>
      </c>
      <c r="D54" s="27" t="s">
        <v>22</v>
      </c>
    </row>
    <row r="55" ht="15.75" customHeight="1">
      <c r="A55" s="27" t="s">
        <v>545</v>
      </c>
      <c r="B55" s="27" t="s">
        <v>546</v>
      </c>
      <c r="C55" s="27" t="s">
        <v>547</v>
      </c>
      <c r="D55" s="27" t="s">
        <v>22</v>
      </c>
    </row>
    <row r="56" ht="15.75" customHeight="1">
      <c r="A56" s="27" t="s">
        <v>548</v>
      </c>
      <c r="B56" s="27" t="s">
        <v>549</v>
      </c>
      <c r="C56" s="27" t="s">
        <v>547</v>
      </c>
      <c r="D56" s="27" t="s">
        <v>22</v>
      </c>
      <c r="E56" s="29">
        <v>1.0</v>
      </c>
    </row>
    <row r="57" ht="15.75" customHeight="1">
      <c r="A57" s="27" t="s">
        <v>550</v>
      </c>
      <c r="B57" s="27" t="s">
        <v>551</v>
      </c>
      <c r="C57" s="27" t="s">
        <v>547</v>
      </c>
      <c r="D57" s="27" t="s">
        <v>22</v>
      </c>
    </row>
    <row r="58" ht="15.75" customHeight="1">
      <c r="A58" s="27" t="s">
        <v>552</v>
      </c>
      <c r="B58" s="27" t="s">
        <v>553</v>
      </c>
      <c r="C58" s="27" t="s">
        <v>547</v>
      </c>
      <c r="D58" s="27" t="s">
        <v>22</v>
      </c>
      <c r="E58" s="29">
        <v>1.0</v>
      </c>
    </row>
    <row r="59" ht="15.75" customHeight="1">
      <c r="A59" s="27" t="s">
        <v>554</v>
      </c>
      <c r="B59" s="27" t="s">
        <v>555</v>
      </c>
      <c r="C59" s="27" t="s">
        <v>547</v>
      </c>
      <c r="D59" s="27" t="s">
        <v>22</v>
      </c>
    </row>
    <row r="60" ht="15.75" customHeight="1">
      <c r="A60" s="27" t="s">
        <v>556</v>
      </c>
      <c r="B60" s="27" t="s">
        <v>557</v>
      </c>
      <c r="C60" s="27" t="s">
        <v>547</v>
      </c>
      <c r="D60" s="27"/>
    </row>
    <row r="61" ht="15.75" customHeight="1">
      <c r="A61" s="27" t="s">
        <v>558</v>
      </c>
      <c r="B61" s="27" t="s">
        <v>559</v>
      </c>
      <c r="C61" s="27" t="s">
        <v>560</v>
      </c>
      <c r="D61" s="27"/>
    </row>
    <row r="62" ht="15.75" customHeight="1">
      <c r="A62" s="27" t="s">
        <v>561</v>
      </c>
      <c r="B62" s="27" t="s">
        <v>562</v>
      </c>
      <c r="C62" s="27" t="s">
        <v>560</v>
      </c>
      <c r="D62" s="27"/>
    </row>
    <row r="63" ht="15.75" customHeight="1">
      <c r="A63" s="27" t="s">
        <v>563</v>
      </c>
      <c r="B63" s="27" t="s">
        <v>564</v>
      </c>
      <c r="C63" s="27" t="s">
        <v>560</v>
      </c>
      <c r="D63" s="27" t="s">
        <v>22</v>
      </c>
    </row>
    <row r="64" ht="15.75" customHeight="1">
      <c r="A64" s="27" t="s">
        <v>565</v>
      </c>
      <c r="B64" s="27" t="s">
        <v>566</v>
      </c>
      <c r="C64" s="27" t="s">
        <v>560</v>
      </c>
      <c r="D64" s="27" t="s">
        <v>22</v>
      </c>
      <c r="E64" s="29">
        <v>1.0</v>
      </c>
    </row>
    <row r="65" ht="15.75" customHeight="1">
      <c r="A65" s="27" t="s">
        <v>567</v>
      </c>
      <c r="B65" s="27" t="s">
        <v>568</v>
      </c>
      <c r="C65" s="27" t="s">
        <v>560</v>
      </c>
      <c r="D65" s="27" t="s">
        <v>22</v>
      </c>
    </row>
    <row r="66" ht="15.75" customHeight="1">
      <c r="A66" s="27" t="s">
        <v>569</v>
      </c>
      <c r="B66" s="27" t="s">
        <v>570</v>
      </c>
      <c r="C66" s="27" t="s">
        <v>571</v>
      </c>
      <c r="D66" s="27" t="s">
        <v>22</v>
      </c>
    </row>
    <row r="67" ht="15.75" customHeight="1">
      <c r="A67" s="27" t="s">
        <v>572</v>
      </c>
      <c r="B67" s="27" t="s">
        <v>573</v>
      </c>
      <c r="C67" s="27" t="s">
        <v>571</v>
      </c>
      <c r="D67" s="27" t="s">
        <v>22</v>
      </c>
    </row>
    <row r="68" ht="15.75" customHeight="1">
      <c r="A68" s="27" t="s">
        <v>574</v>
      </c>
      <c r="B68" s="27" t="s">
        <v>575</v>
      </c>
      <c r="C68" s="27" t="s">
        <v>571</v>
      </c>
      <c r="D68" s="27"/>
    </row>
    <row r="69" ht="15.75" customHeight="1">
      <c r="A69" s="27" t="s">
        <v>576</v>
      </c>
      <c r="B69" s="27" t="s">
        <v>577</v>
      </c>
      <c r="C69" s="27" t="s">
        <v>571</v>
      </c>
      <c r="D69" s="27" t="s">
        <v>22</v>
      </c>
    </row>
    <row r="70" ht="15.75" customHeight="1">
      <c r="A70" s="27" t="s">
        <v>578</v>
      </c>
      <c r="B70" s="27" t="s">
        <v>579</v>
      </c>
      <c r="C70" s="27" t="s">
        <v>580</v>
      </c>
      <c r="D70" s="27" t="s">
        <v>22</v>
      </c>
      <c r="E70" s="29">
        <v>1.0</v>
      </c>
    </row>
    <row r="71" ht="15.75" customHeight="1">
      <c r="A71" s="27" t="s">
        <v>581</v>
      </c>
      <c r="B71" s="27" t="s">
        <v>582</v>
      </c>
      <c r="C71" s="27" t="s">
        <v>580</v>
      </c>
      <c r="D71" s="27" t="s">
        <v>22</v>
      </c>
    </row>
    <row r="72" ht="15.75" customHeight="1">
      <c r="A72" s="27" t="s">
        <v>583</v>
      </c>
      <c r="B72" s="27" t="s">
        <v>584</v>
      </c>
      <c r="C72" s="27" t="s">
        <v>580</v>
      </c>
      <c r="D72" s="27" t="s">
        <v>22</v>
      </c>
    </row>
    <row r="73" ht="15.75" customHeight="1">
      <c r="A73" s="27" t="s">
        <v>585</v>
      </c>
      <c r="B73" s="27" t="s">
        <v>586</v>
      </c>
      <c r="C73" s="27" t="s">
        <v>580</v>
      </c>
      <c r="D73" s="27"/>
    </row>
    <row r="74" ht="15.75" customHeight="1">
      <c r="A74" s="27" t="s">
        <v>587</v>
      </c>
      <c r="B74" s="27" t="s">
        <v>588</v>
      </c>
      <c r="C74" s="27" t="s">
        <v>589</v>
      </c>
      <c r="D74" s="27" t="s">
        <v>22</v>
      </c>
    </row>
    <row r="75" ht="15.75" customHeight="1">
      <c r="A75" s="27" t="s">
        <v>590</v>
      </c>
      <c r="B75" s="27" t="s">
        <v>591</v>
      </c>
      <c r="C75" s="27" t="s">
        <v>589</v>
      </c>
      <c r="D75" s="27" t="s">
        <v>22</v>
      </c>
    </row>
    <row r="76" ht="15.75" customHeight="1">
      <c r="A76" s="27" t="s">
        <v>592</v>
      </c>
      <c r="B76" s="27" t="s">
        <v>593</v>
      </c>
      <c r="C76" s="27" t="s">
        <v>589</v>
      </c>
      <c r="D76" s="27" t="s">
        <v>22</v>
      </c>
    </row>
    <row r="77" ht="15.75" customHeight="1">
      <c r="A77" s="27" t="s">
        <v>594</v>
      </c>
      <c r="B77" s="27" t="s">
        <v>595</v>
      </c>
      <c r="C77" s="27" t="s">
        <v>589</v>
      </c>
      <c r="D77" s="27"/>
    </row>
    <row r="78" ht="15.75" customHeight="1">
      <c r="A78" s="27" t="s">
        <v>596</v>
      </c>
      <c r="B78" s="27" t="s">
        <v>597</v>
      </c>
      <c r="C78" s="27" t="s">
        <v>589</v>
      </c>
      <c r="D78" s="27" t="s">
        <v>22</v>
      </c>
    </row>
    <row r="79" ht="15.75" customHeight="1">
      <c r="A79" s="27" t="s">
        <v>598</v>
      </c>
      <c r="B79" s="27" t="s">
        <v>599</v>
      </c>
      <c r="C79" s="27" t="s">
        <v>600</v>
      </c>
      <c r="D79" s="27" t="s">
        <v>22</v>
      </c>
    </row>
    <row r="80" ht="15.75" customHeight="1">
      <c r="A80" s="27" t="s">
        <v>601</v>
      </c>
      <c r="B80" s="27" t="s">
        <v>602</v>
      </c>
      <c r="C80" s="27" t="s">
        <v>600</v>
      </c>
      <c r="D80" s="27" t="s">
        <v>22</v>
      </c>
      <c r="E80" s="29">
        <v>1.0</v>
      </c>
    </row>
    <row r="81" ht="15.75" customHeight="1">
      <c r="A81" s="27" t="s">
        <v>603</v>
      </c>
      <c r="B81" s="27" t="s">
        <v>604</v>
      </c>
      <c r="C81" s="27" t="s">
        <v>600</v>
      </c>
      <c r="D81" s="27" t="s">
        <v>22</v>
      </c>
    </row>
    <row r="82" ht="15.75" customHeight="1">
      <c r="A82" s="27" t="s">
        <v>605</v>
      </c>
      <c r="B82" s="27" t="s">
        <v>606</v>
      </c>
      <c r="C82" s="27" t="s">
        <v>600</v>
      </c>
      <c r="D82" s="27"/>
    </row>
    <row r="83" ht="15.75" customHeight="1">
      <c r="A83" s="27" t="s">
        <v>607</v>
      </c>
      <c r="B83" s="27" t="s">
        <v>608</v>
      </c>
      <c r="C83" s="27" t="s">
        <v>600</v>
      </c>
      <c r="D83" s="27"/>
    </row>
    <row r="84" ht="15.75" customHeight="1">
      <c r="A84" s="27" t="s">
        <v>609</v>
      </c>
      <c r="B84" s="27" t="s">
        <v>610</v>
      </c>
      <c r="C84" s="27" t="s">
        <v>611</v>
      </c>
      <c r="D84" s="27"/>
    </row>
    <row r="85" ht="15.75" customHeight="1">
      <c r="A85" s="27" t="s">
        <v>612</v>
      </c>
      <c r="B85" s="27" t="s">
        <v>613</v>
      </c>
      <c r="C85" s="27" t="s">
        <v>611</v>
      </c>
      <c r="D85" s="27" t="s">
        <v>22</v>
      </c>
    </row>
    <row r="86" ht="15.75" customHeight="1">
      <c r="A86" s="27" t="s">
        <v>614</v>
      </c>
      <c r="B86" s="27" t="s">
        <v>615</v>
      </c>
      <c r="C86" s="27" t="s">
        <v>611</v>
      </c>
      <c r="D86" s="27"/>
    </row>
    <row r="87" ht="15.75" customHeight="1">
      <c r="A87" s="27" t="s">
        <v>616</v>
      </c>
      <c r="B87" s="27" t="s">
        <v>617</v>
      </c>
      <c r="C87" s="27" t="s">
        <v>618</v>
      </c>
      <c r="D87" s="27"/>
    </row>
    <row r="88" ht="15.75" customHeight="1">
      <c r="A88" s="27" t="s">
        <v>619</v>
      </c>
      <c r="B88" s="27" t="s">
        <v>620</v>
      </c>
      <c r="C88" s="27" t="s">
        <v>618</v>
      </c>
      <c r="D88" s="27" t="s">
        <v>22</v>
      </c>
    </row>
    <row r="89" ht="15.75" customHeight="1">
      <c r="A89" s="27" t="s">
        <v>621</v>
      </c>
      <c r="B89" s="27" t="s">
        <v>622</v>
      </c>
      <c r="C89" s="27" t="s">
        <v>618</v>
      </c>
      <c r="D89" s="27" t="s">
        <v>22</v>
      </c>
    </row>
    <row r="90" ht="15.75" customHeight="1">
      <c r="A90" s="27" t="s">
        <v>623</v>
      </c>
      <c r="B90" s="27" t="s">
        <v>624</v>
      </c>
      <c r="C90" s="27" t="s">
        <v>625</v>
      </c>
      <c r="D90" s="27"/>
    </row>
    <row r="91" ht="15.75" customHeight="1">
      <c r="A91" s="27" t="s">
        <v>626</v>
      </c>
      <c r="B91" s="27" t="s">
        <v>627</v>
      </c>
      <c r="C91" s="27" t="s">
        <v>625</v>
      </c>
      <c r="D91" s="27"/>
    </row>
    <row r="92" ht="15.75" customHeight="1">
      <c r="A92" s="27" t="s">
        <v>628</v>
      </c>
      <c r="B92" s="27" t="s">
        <v>629</v>
      </c>
      <c r="C92" s="27" t="s">
        <v>625</v>
      </c>
      <c r="D92" s="27" t="s">
        <v>22</v>
      </c>
    </row>
    <row r="93" ht="15.75" customHeight="1">
      <c r="A93" s="27" t="s">
        <v>630</v>
      </c>
      <c r="B93" s="27" t="s">
        <v>631</v>
      </c>
      <c r="C93" s="27" t="s">
        <v>625</v>
      </c>
      <c r="D93" s="27"/>
    </row>
    <row r="94" ht="15.75" customHeight="1">
      <c r="A94" s="27" t="s">
        <v>632</v>
      </c>
      <c r="B94" s="27" t="s">
        <v>633</v>
      </c>
      <c r="C94" s="27" t="s">
        <v>625</v>
      </c>
      <c r="D94" s="27"/>
    </row>
    <row r="95" ht="15.75" customHeight="1">
      <c r="A95" s="27" t="s">
        <v>634</v>
      </c>
      <c r="B95" s="27" t="s">
        <v>635</v>
      </c>
      <c r="C95" s="27" t="s">
        <v>625</v>
      </c>
      <c r="D95" s="27"/>
    </row>
    <row r="96" ht="15.75" customHeight="1">
      <c r="A96" s="27" t="s">
        <v>636</v>
      </c>
      <c r="B96" s="27" t="s">
        <v>637</v>
      </c>
      <c r="C96" s="27" t="s">
        <v>638</v>
      </c>
      <c r="D96" s="27" t="s">
        <v>22</v>
      </c>
    </row>
    <row r="97" ht="15.75" customHeight="1">
      <c r="A97" s="27" t="s">
        <v>639</v>
      </c>
      <c r="B97" s="27" t="s">
        <v>640</v>
      </c>
      <c r="C97" s="27" t="s">
        <v>638</v>
      </c>
      <c r="D97" s="27" t="s">
        <v>22</v>
      </c>
      <c r="E97" s="29">
        <v>1.0</v>
      </c>
    </row>
    <row r="98" ht="15.75" customHeight="1">
      <c r="A98" s="27" t="s">
        <v>641</v>
      </c>
      <c r="B98" s="27" t="s">
        <v>642</v>
      </c>
      <c r="C98" s="27" t="s">
        <v>638</v>
      </c>
      <c r="D98" s="27"/>
    </row>
    <row r="99" ht="15.75" customHeight="1">
      <c r="A99" s="27" t="s">
        <v>643</v>
      </c>
      <c r="B99" s="27" t="s">
        <v>620</v>
      </c>
      <c r="C99" s="27" t="s">
        <v>638</v>
      </c>
      <c r="D99" s="31" t="s">
        <v>22</v>
      </c>
    </row>
    <row r="100" ht="15.75" customHeight="1">
      <c r="A100" s="27" t="s">
        <v>644</v>
      </c>
      <c r="B100" s="27" t="s">
        <v>645</v>
      </c>
      <c r="C100" s="27" t="s">
        <v>638</v>
      </c>
      <c r="D100" s="27"/>
    </row>
    <row r="101" ht="15.75" customHeight="1">
      <c r="A101" s="27" t="s">
        <v>646</v>
      </c>
      <c r="B101" s="27" t="s">
        <v>608</v>
      </c>
      <c r="C101" s="27" t="s">
        <v>638</v>
      </c>
      <c r="D101" s="27" t="s">
        <v>22</v>
      </c>
    </row>
    <row r="102" ht="15.75" customHeight="1">
      <c r="A102" s="27" t="s">
        <v>647</v>
      </c>
      <c r="B102" s="27" t="s">
        <v>648</v>
      </c>
      <c r="C102" s="27" t="s">
        <v>638</v>
      </c>
      <c r="D102" s="27" t="s">
        <v>22</v>
      </c>
    </row>
    <row r="103" ht="15.75" customHeight="1"/>
    <row r="104" ht="15.75" customHeight="1"/>
    <row r="105" ht="15.75" customHeight="1"/>
    <row r="106" ht="15.75" customHeight="1"/>
    <row r="107" ht="15.75" customHeight="1">
      <c r="A107" s="27"/>
      <c r="B107" s="27"/>
      <c r="C107" s="27"/>
      <c r="D107" s="27"/>
    </row>
    <row r="108" ht="15.75" customHeight="1">
      <c r="A108" s="27"/>
      <c r="B108" s="27"/>
      <c r="C108" s="27"/>
      <c r="D108" s="27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102 A107:D108">
    <cfRule type="expression" dxfId="0" priority="1">
      <formula>$D1="SI"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3.0"/>
    <col customWidth="1" min="3" max="3" width="24.63"/>
    <col customWidth="1" min="4" max="4" width="32.25"/>
    <col customWidth="1" min="5" max="6" width="12.63"/>
  </cols>
  <sheetData>
    <row r="1" ht="15.75" customHeight="1">
      <c r="A1" s="27" t="s">
        <v>649</v>
      </c>
      <c r="B1" s="27" t="s">
        <v>650</v>
      </c>
      <c r="C1" s="27" t="s">
        <v>454</v>
      </c>
      <c r="D1" s="27" t="s">
        <v>22</v>
      </c>
      <c r="E1" s="31">
        <v>1.0</v>
      </c>
    </row>
    <row r="2" ht="15.75" customHeight="1">
      <c r="A2" s="27" t="s">
        <v>651</v>
      </c>
      <c r="B2" s="27" t="s">
        <v>652</v>
      </c>
      <c r="C2" s="27" t="s">
        <v>472</v>
      </c>
      <c r="D2" s="27"/>
      <c r="E2" s="27"/>
    </row>
    <row r="3" ht="15.75" customHeight="1">
      <c r="A3" s="27" t="s">
        <v>653</v>
      </c>
      <c r="B3" s="27" t="s">
        <v>654</v>
      </c>
      <c r="C3" s="27" t="s">
        <v>493</v>
      </c>
      <c r="D3" s="27"/>
      <c r="E3" s="27"/>
    </row>
    <row r="4" ht="15.75" customHeight="1">
      <c r="A4" s="27" t="s">
        <v>655</v>
      </c>
      <c r="B4" s="27" t="s">
        <v>656</v>
      </c>
      <c r="C4" s="27" t="s">
        <v>657</v>
      </c>
      <c r="D4" s="27"/>
      <c r="E4" s="27"/>
    </row>
    <row r="5" ht="15.75" customHeight="1">
      <c r="A5" s="27" t="s">
        <v>658</v>
      </c>
      <c r="B5" s="27" t="s">
        <v>659</v>
      </c>
      <c r="C5" s="27" t="s">
        <v>600</v>
      </c>
      <c r="D5" s="27"/>
      <c r="E5" s="27"/>
    </row>
    <row r="6" ht="15.75" customHeight="1">
      <c r="A6" s="27" t="s">
        <v>660</v>
      </c>
      <c r="B6" s="27" t="s">
        <v>661</v>
      </c>
      <c r="C6" s="27" t="s">
        <v>662</v>
      </c>
      <c r="D6" s="27"/>
      <c r="E6" s="27"/>
    </row>
    <row r="7" ht="15.75" customHeight="1">
      <c r="A7" s="27" t="s">
        <v>663</v>
      </c>
      <c r="B7" s="27" t="s">
        <v>664</v>
      </c>
      <c r="C7" s="27" t="s">
        <v>662</v>
      </c>
      <c r="D7" s="27"/>
      <c r="E7" s="27"/>
    </row>
    <row r="8" ht="15.75" customHeight="1">
      <c r="A8" s="27" t="s">
        <v>665</v>
      </c>
      <c r="B8" s="27" t="s">
        <v>666</v>
      </c>
      <c r="C8" s="27" t="s">
        <v>454</v>
      </c>
      <c r="D8" s="27"/>
      <c r="E8" s="27"/>
    </row>
    <row r="9" ht="15.75" customHeight="1">
      <c r="A9" s="27" t="s">
        <v>667</v>
      </c>
      <c r="B9" s="27" t="s">
        <v>668</v>
      </c>
      <c r="C9" s="27" t="s">
        <v>472</v>
      </c>
      <c r="D9" s="27"/>
      <c r="E9" s="27"/>
    </row>
    <row r="10" ht="15.75" customHeight="1">
      <c r="A10" s="27" t="s">
        <v>669</v>
      </c>
      <c r="B10" s="27" t="s">
        <v>670</v>
      </c>
      <c r="C10" s="27" t="s">
        <v>560</v>
      </c>
      <c r="D10" s="27"/>
      <c r="E10" s="27"/>
    </row>
    <row r="11" ht="15.75" customHeight="1">
      <c r="A11" s="27" t="s">
        <v>671</v>
      </c>
      <c r="B11" s="27" t="s">
        <v>672</v>
      </c>
      <c r="C11" s="27" t="s">
        <v>454</v>
      </c>
      <c r="D11" s="27" t="s">
        <v>22</v>
      </c>
      <c r="E11" s="27"/>
    </row>
    <row r="12" ht="15.75" customHeight="1">
      <c r="A12" s="27" t="s">
        <v>673</v>
      </c>
      <c r="B12" s="27" t="s">
        <v>674</v>
      </c>
      <c r="C12" s="27" t="s">
        <v>472</v>
      </c>
      <c r="D12" s="27" t="s">
        <v>22</v>
      </c>
      <c r="E12" s="27"/>
    </row>
    <row r="13" ht="15.75" customHeight="1">
      <c r="A13" s="27" t="s">
        <v>675</v>
      </c>
      <c r="B13" s="27" t="s">
        <v>676</v>
      </c>
      <c r="C13" s="27" t="s">
        <v>560</v>
      </c>
      <c r="D13" s="27" t="s">
        <v>22</v>
      </c>
      <c r="E13" s="27"/>
    </row>
    <row r="14" ht="15.75" customHeight="1">
      <c r="A14" s="27" t="s">
        <v>677</v>
      </c>
      <c r="B14" s="27" t="s">
        <v>678</v>
      </c>
      <c r="C14" s="27" t="s">
        <v>445</v>
      </c>
      <c r="D14" s="27"/>
      <c r="E14" s="27"/>
    </row>
    <row r="15" ht="15.75" customHeight="1">
      <c r="A15" s="27" t="s">
        <v>679</v>
      </c>
      <c r="B15" s="27" t="s">
        <v>650</v>
      </c>
      <c r="C15" s="27" t="s">
        <v>454</v>
      </c>
      <c r="D15" s="27"/>
      <c r="E15" s="27"/>
    </row>
    <row r="16" ht="15.75" customHeight="1">
      <c r="A16" s="27" t="s">
        <v>680</v>
      </c>
      <c r="B16" s="27" t="s">
        <v>681</v>
      </c>
      <c r="C16" s="27" t="s">
        <v>560</v>
      </c>
      <c r="D16" s="27"/>
      <c r="E16" s="27"/>
    </row>
    <row r="17" ht="15.75" customHeight="1">
      <c r="A17" s="27" t="s">
        <v>682</v>
      </c>
      <c r="B17" s="27" t="s">
        <v>683</v>
      </c>
      <c r="C17" s="27" t="s">
        <v>638</v>
      </c>
      <c r="D17" s="27"/>
      <c r="E17" s="27"/>
    </row>
    <row r="18" ht="15.75" customHeight="1">
      <c r="A18" s="27" t="s">
        <v>684</v>
      </c>
      <c r="B18" s="27" t="s">
        <v>685</v>
      </c>
      <c r="C18" s="27" t="s">
        <v>589</v>
      </c>
      <c r="D18" s="27" t="s">
        <v>22</v>
      </c>
      <c r="E18" s="27"/>
    </row>
    <row r="19" ht="15.75" customHeight="1">
      <c r="A19" s="27" t="s">
        <v>686</v>
      </c>
      <c r="B19" s="27" t="s">
        <v>687</v>
      </c>
      <c r="C19" s="27" t="s">
        <v>472</v>
      </c>
      <c r="D19" s="27" t="s">
        <v>22</v>
      </c>
      <c r="E19" s="27"/>
    </row>
    <row r="20" ht="15.75" customHeight="1">
      <c r="A20" s="27" t="s">
        <v>688</v>
      </c>
      <c r="B20" s="27" t="s">
        <v>654</v>
      </c>
      <c r="C20" s="27" t="s">
        <v>493</v>
      </c>
      <c r="D20" s="27" t="s">
        <v>22</v>
      </c>
      <c r="E20" s="27"/>
    </row>
    <row r="21" ht="15.75" customHeight="1">
      <c r="A21" s="27" t="s">
        <v>689</v>
      </c>
      <c r="B21" s="27" t="s">
        <v>690</v>
      </c>
      <c r="C21" s="27" t="s">
        <v>571</v>
      </c>
      <c r="D21" s="27" t="s">
        <v>22</v>
      </c>
      <c r="E21" s="27"/>
    </row>
    <row r="22" ht="15.75" customHeight="1">
      <c r="A22" s="27" t="s">
        <v>691</v>
      </c>
      <c r="B22" s="27" t="s">
        <v>692</v>
      </c>
      <c r="C22" s="27" t="s">
        <v>445</v>
      </c>
      <c r="D22" s="27" t="s">
        <v>22</v>
      </c>
      <c r="E22" s="27"/>
    </row>
    <row r="23" ht="15.75" customHeight="1">
      <c r="A23" s="27" t="s">
        <v>693</v>
      </c>
      <c r="B23" s="27" t="s">
        <v>694</v>
      </c>
      <c r="C23" s="27" t="s">
        <v>445</v>
      </c>
      <c r="D23" s="27" t="s">
        <v>22</v>
      </c>
      <c r="E23" s="27"/>
    </row>
    <row r="24" ht="15.75" customHeight="1">
      <c r="A24" s="27" t="s">
        <v>695</v>
      </c>
      <c r="B24" s="27" t="s">
        <v>696</v>
      </c>
      <c r="C24" s="27" t="s">
        <v>472</v>
      </c>
      <c r="D24" s="27" t="s">
        <v>22</v>
      </c>
      <c r="E24" s="27"/>
    </row>
    <row r="25" ht="15.75" customHeight="1">
      <c r="A25" s="27" t="s">
        <v>697</v>
      </c>
      <c r="B25" s="27" t="s">
        <v>698</v>
      </c>
      <c r="C25" s="27" t="s">
        <v>472</v>
      </c>
      <c r="D25" s="27"/>
      <c r="E25" s="27"/>
    </row>
    <row r="26" ht="15.75" customHeight="1">
      <c r="A26" s="27" t="s">
        <v>699</v>
      </c>
      <c r="B26" s="27" t="s">
        <v>700</v>
      </c>
      <c r="C26" s="27" t="s">
        <v>611</v>
      </c>
      <c r="D26" s="27" t="s">
        <v>22</v>
      </c>
      <c r="E26" s="27"/>
    </row>
    <row r="27" ht="15.75" customHeight="1">
      <c r="A27" s="27" t="s">
        <v>701</v>
      </c>
      <c r="B27" s="27" t="s">
        <v>702</v>
      </c>
      <c r="C27" s="27" t="s">
        <v>611</v>
      </c>
      <c r="D27" s="27" t="s">
        <v>22</v>
      </c>
      <c r="E27" s="27"/>
    </row>
    <row r="28" ht="15.75" customHeight="1">
      <c r="A28" s="27" t="s">
        <v>703</v>
      </c>
      <c r="B28" s="27" t="s">
        <v>704</v>
      </c>
      <c r="C28" s="27" t="s">
        <v>638</v>
      </c>
      <c r="D28" s="27"/>
      <c r="E28" s="27"/>
    </row>
    <row r="29" ht="15.75" customHeight="1">
      <c r="A29" s="27" t="s">
        <v>705</v>
      </c>
      <c r="B29" s="27" t="s">
        <v>706</v>
      </c>
      <c r="C29" s="27" t="s">
        <v>638</v>
      </c>
      <c r="D29" s="27"/>
      <c r="E29" s="27"/>
    </row>
    <row r="30" ht="15.75" customHeight="1">
      <c r="A30" s="27" t="s">
        <v>707</v>
      </c>
      <c r="B30" s="27" t="s">
        <v>708</v>
      </c>
      <c r="C30" s="27" t="s">
        <v>472</v>
      </c>
      <c r="D30" s="27" t="s">
        <v>22</v>
      </c>
      <c r="E30" s="27"/>
    </row>
    <row r="31" ht="15.75" customHeight="1">
      <c r="A31" s="27" t="s">
        <v>709</v>
      </c>
      <c r="B31" s="27" t="s">
        <v>710</v>
      </c>
      <c r="C31" s="27" t="s">
        <v>472</v>
      </c>
      <c r="D31" s="27" t="s">
        <v>22</v>
      </c>
      <c r="E31" s="27"/>
    </row>
    <row r="32" ht="15.75" customHeight="1">
      <c r="A32" s="27" t="s">
        <v>711</v>
      </c>
      <c r="B32" s="27" t="s">
        <v>712</v>
      </c>
      <c r="C32" s="27" t="s">
        <v>482</v>
      </c>
      <c r="D32" s="27" t="s">
        <v>22</v>
      </c>
      <c r="E32" s="27"/>
    </row>
    <row r="33" ht="15.75" customHeight="1">
      <c r="A33" s="27" t="s">
        <v>713</v>
      </c>
      <c r="B33" s="27" t="s">
        <v>714</v>
      </c>
      <c r="C33" s="27" t="s">
        <v>472</v>
      </c>
      <c r="D33" s="27" t="s">
        <v>22</v>
      </c>
      <c r="E33" s="27"/>
    </row>
    <row r="34" ht="15.75" customHeight="1">
      <c r="A34" s="27" t="s">
        <v>715</v>
      </c>
      <c r="B34" s="27" t="s">
        <v>716</v>
      </c>
      <c r="C34" s="27" t="s">
        <v>454</v>
      </c>
      <c r="D34" s="27" t="s">
        <v>22</v>
      </c>
      <c r="E34" s="27"/>
    </row>
    <row r="35" ht="15.75" customHeight="1">
      <c r="A35" s="27" t="s">
        <v>717</v>
      </c>
      <c r="B35" s="27" t="s">
        <v>718</v>
      </c>
      <c r="C35" s="27" t="s">
        <v>560</v>
      </c>
      <c r="D35" s="27" t="s">
        <v>22</v>
      </c>
      <c r="E35" s="27"/>
    </row>
    <row r="36" ht="15.75" customHeight="1">
      <c r="A36" s="27" t="s">
        <v>719</v>
      </c>
      <c r="B36" s="27" t="s">
        <v>720</v>
      </c>
      <c r="C36" s="27" t="s">
        <v>600</v>
      </c>
      <c r="D36" s="27" t="s">
        <v>22</v>
      </c>
      <c r="E36" s="27"/>
    </row>
    <row r="37" ht="15.75" customHeight="1">
      <c r="A37" s="31" t="s">
        <v>721</v>
      </c>
      <c r="B37" s="31" t="s">
        <v>722</v>
      </c>
      <c r="C37" s="27" t="s">
        <v>454</v>
      </c>
      <c r="D37" s="27" t="s">
        <v>22</v>
      </c>
      <c r="E37" s="27"/>
    </row>
    <row r="38" ht="15.75" customHeight="1">
      <c r="A38" s="31" t="s">
        <v>723</v>
      </c>
      <c r="B38" s="27" t="s">
        <v>724</v>
      </c>
      <c r="C38" s="27" t="s">
        <v>445</v>
      </c>
      <c r="D38" s="27" t="s">
        <v>22</v>
      </c>
      <c r="E38" s="27"/>
    </row>
    <row r="39" ht="15.75" customHeight="1">
      <c r="A39" s="31" t="s">
        <v>723</v>
      </c>
      <c r="B39" s="27" t="s">
        <v>725</v>
      </c>
      <c r="C39" s="27" t="s">
        <v>472</v>
      </c>
      <c r="D39" s="27" t="s">
        <v>22</v>
      </c>
      <c r="E39" s="27"/>
    </row>
    <row r="40" ht="15.75" customHeight="1">
      <c r="A40" s="31" t="s">
        <v>723</v>
      </c>
      <c r="B40" s="27" t="s">
        <v>726</v>
      </c>
      <c r="C40" s="27" t="s">
        <v>560</v>
      </c>
      <c r="D40" s="27" t="s">
        <v>22</v>
      </c>
      <c r="E40" s="27"/>
    </row>
    <row r="41" ht="15.75" customHeight="1">
      <c r="A41" s="31" t="s">
        <v>723</v>
      </c>
      <c r="B41" s="27" t="s">
        <v>727</v>
      </c>
      <c r="C41" s="27" t="s">
        <v>482</v>
      </c>
      <c r="D41" s="27" t="s">
        <v>22</v>
      </c>
      <c r="E41" s="27"/>
    </row>
    <row r="42" ht="15.75" customHeight="1">
      <c r="A42" s="31" t="s">
        <v>723</v>
      </c>
      <c r="B42" s="27" t="s">
        <v>728</v>
      </c>
      <c r="C42" s="27" t="s">
        <v>493</v>
      </c>
      <c r="D42" s="27" t="s">
        <v>22</v>
      </c>
      <c r="E42" s="27"/>
    </row>
    <row r="43" ht="15.75" customHeight="1">
      <c r="A43" s="31" t="s">
        <v>723</v>
      </c>
      <c r="B43" s="27" t="s">
        <v>729</v>
      </c>
      <c r="C43" s="27" t="s">
        <v>454</v>
      </c>
      <c r="D43" s="27" t="s">
        <v>22</v>
      </c>
      <c r="E43" s="27"/>
    </row>
    <row r="44" ht="15.75" customHeight="1">
      <c r="A44" s="27" t="s">
        <v>730</v>
      </c>
      <c r="B44" s="27" t="s">
        <v>668</v>
      </c>
      <c r="C44" s="27" t="s">
        <v>472</v>
      </c>
      <c r="D44" s="27"/>
      <c r="G44" s="32"/>
      <c r="H44" s="32"/>
      <c r="I44" s="33"/>
      <c r="J44" s="32"/>
    </row>
    <row r="45" ht="15.75" customHeight="1">
      <c r="A45" s="27" t="s">
        <v>730</v>
      </c>
      <c r="B45" s="27" t="s">
        <v>731</v>
      </c>
      <c r="C45" s="27" t="s">
        <v>560</v>
      </c>
      <c r="D45" s="27"/>
      <c r="G45" s="33"/>
      <c r="H45" s="32"/>
      <c r="I45" s="33"/>
      <c r="J45" s="32"/>
    </row>
    <row r="46" ht="15.75" customHeight="1">
      <c r="A46" s="27" t="s">
        <v>730</v>
      </c>
      <c r="B46" s="27" t="s">
        <v>732</v>
      </c>
      <c r="C46" s="27" t="s">
        <v>560</v>
      </c>
      <c r="D46" s="27"/>
      <c r="G46" s="33"/>
      <c r="H46" s="32"/>
      <c r="I46" s="33"/>
      <c r="J46" s="32"/>
    </row>
    <row r="47" ht="15.75" customHeight="1">
      <c r="A47" s="27" t="s">
        <v>733</v>
      </c>
      <c r="B47" s="27" t="s">
        <v>734</v>
      </c>
      <c r="C47" s="27" t="s">
        <v>472</v>
      </c>
      <c r="D47" s="27"/>
      <c r="G47" s="33"/>
      <c r="H47" s="32"/>
      <c r="I47" s="33"/>
      <c r="J47" s="32"/>
    </row>
    <row r="48" ht="15.75" customHeight="1">
      <c r="A48" s="27" t="s">
        <v>733</v>
      </c>
      <c r="B48" s="27" t="s">
        <v>735</v>
      </c>
      <c r="C48" s="27" t="s">
        <v>560</v>
      </c>
      <c r="D48" s="27"/>
      <c r="G48" s="33"/>
      <c r="H48" s="32"/>
      <c r="I48" s="33"/>
      <c r="J48" s="32"/>
    </row>
    <row r="49" ht="15.75" customHeight="1">
      <c r="A49" s="27" t="s">
        <v>733</v>
      </c>
      <c r="B49" s="27" t="s">
        <v>736</v>
      </c>
      <c r="C49" s="27" t="s">
        <v>454</v>
      </c>
      <c r="D49" s="27"/>
      <c r="G49" s="33"/>
      <c r="H49" s="32"/>
      <c r="I49" s="33"/>
      <c r="J49" s="32"/>
    </row>
    <row r="50" ht="15.75" customHeight="1">
      <c r="A50" s="27" t="s">
        <v>737</v>
      </c>
      <c r="B50" s="27" t="s">
        <v>738</v>
      </c>
      <c r="C50" s="27" t="s">
        <v>472</v>
      </c>
      <c r="D50" s="27"/>
      <c r="G50" s="33"/>
      <c r="H50" s="32"/>
      <c r="I50" s="33"/>
      <c r="J50" s="32"/>
    </row>
    <row r="51" ht="15.75" customHeight="1">
      <c r="A51" s="27" t="s">
        <v>737</v>
      </c>
      <c r="B51" s="27" t="s">
        <v>739</v>
      </c>
      <c r="C51" s="27" t="s">
        <v>560</v>
      </c>
      <c r="D51" s="27"/>
      <c r="G51" s="33"/>
      <c r="H51" s="33"/>
      <c r="I51" s="33"/>
      <c r="J51" s="33"/>
    </row>
    <row r="52" ht="15.75" customHeight="1">
      <c r="A52" s="27" t="s">
        <v>737</v>
      </c>
      <c r="B52" s="27" t="s">
        <v>740</v>
      </c>
      <c r="C52" s="27" t="s">
        <v>472</v>
      </c>
      <c r="D52" s="27"/>
      <c r="G52" s="33"/>
      <c r="H52" s="33"/>
      <c r="I52" s="33"/>
      <c r="J52" s="33"/>
    </row>
    <row r="53" ht="15.75" customHeight="1">
      <c r="A53" s="27" t="s">
        <v>737</v>
      </c>
      <c r="B53" s="27" t="s">
        <v>741</v>
      </c>
      <c r="C53" s="27" t="s">
        <v>560</v>
      </c>
      <c r="D53" s="27"/>
      <c r="G53" s="33"/>
      <c r="H53" s="33"/>
      <c r="I53" s="33"/>
      <c r="J53" s="33"/>
    </row>
    <row r="54" ht="15.75" customHeight="1">
      <c r="A54" s="27" t="s">
        <v>737</v>
      </c>
      <c r="B54" s="27" t="s">
        <v>742</v>
      </c>
      <c r="C54" s="27" t="s">
        <v>472</v>
      </c>
      <c r="D54" s="27"/>
      <c r="G54" s="33"/>
      <c r="H54" s="33"/>
      <c r="I54" s="33"/>
      <c r="J54" s="33"/>
    </row>
    <row r="55" ht="15.75" customHeight="1">
      <c r="A55" s="27" t="s">
        <v>737</v>
      </c>
      <c r="B55" s="27" t="s">
        <v>743</v>
      </c>
      <c r="C55" s="27" t="s">
        <v>625</v>
      </c>
      <c r="D55" s="27"/>
      <c r="G55" s="33"/>
      <c r="H55" s="33"/>
      <c r="I55" s="33"/>
      <c r="J55" s="33"/>
    </row>
    <row r="56" ht="15.75" customHeight="1">
      <c r="A56" s="27" t="s">
        <v>737</v>
      </c>
      <c r="B56" s="27" t="s">
        <v>744</v>
      </c>
      <c r="C56" s="27" t="s">
        <v>482</v>
      </c>
      <c r="D56" s="27"/>
      <c r="G56" s="33"/>
      <c r="H56" s="33"/>
      <c r="I56" s="33"/>
      <c r="J56" s="33"/>
    </row>
    <row r="57" ht="15.75" customHeight="1">
      <c r="A57" s="27" t="s">
        <v>737</v>
      </c>
      <c r="B57" s="27" t="s">
        <v>745</v>
      </c>
      <c r="C57" s="27" t="s">
        <v>454</v>
      </c>
      <c r="D57" s="27"/>
      <c r="G57" s="33"/>
      <c r="H57" s="33"/>
      <c r="I57" s="33"/>
      <c r="J57" s="33"/>
    </row>
    <row r="58" ht="15.75" customHeight="1">
      <c r="A58" s="27" t="s">
        <v>737</v>
      </c>
      <c r="B58" s="27" t="s">
        <v>746</v>
      </c>
      <c r="C58" s="27" t="s">
        <v>618</v>
      </c>
      <c r="D58" s="27"/>
      <c r="G58" s="33"/>
      <c r="H58" s="33"/>
      <c r="I58" s="33"/>
      <c r="J58" s="33"/>
    </row>
    <row r="59" ht="15.75" customHeight="1">
      <c r="A59" s="27" t="s">
        <v>737</v>
      </c>
      <c r="B59" s="27" t="s">
        <v>747</v>
      </c>
      <c r="C59" s="27" t="s">
        <v>748</v>
      </c>
      <c r="D59" s="27"/>
      <c r="G59" s="33"/>
      <c r="H59" s="33"/>
      <c r="I59" s="33"/>
      <c r="J59" s="33"/>
    </row>
    <row r="60" ht="15.75" customHeight="1">
      <c r="A60" s="27" t="s">
        <v>737</v>
      </c>
      <c r="B60" s="27" t="s">
        <v>749</v>
      </c>
      <c r="C60" s="27" t="s">
        <v>580</v>
      </c>
      <c r="D60" s="27"/>
      <c r="G60" s="33"/>
      <c r="H60" s="33"/>
      <c r="I60" s="33"/>
      <c r="J60" s="33"/>
    </row>
    <row r="61" ht="15.75" customHeight="1">
      <c r="A61" s="27" t="s">
        <v>737</v>
      </c>
      <c r="B61" s="27" t="s">
        <v>750</v>
      </c>
      <c r="C61" s="27" t="s">
        <v>482</v>
      </c>
      <c r="D61" s="27"/>
      <c r="G61" s="33"/>
      <c r="H61" s="33"/>
      <c r="I61" s="33"/>
      <c r="J61" s="33"/>
    </row>
    <row r="62" ht="15.75" customHeight="1">
      <c r="A62" s="27" t="s">
        <v>737</v>
      </c>
      <c r="B62" s="31" t="s">
        <v>751</v>
      </c>
      <c r="C62" s="31" t="s">
        <v>508</v>
      </c>
      <c r="D62" s="27" t="s">
        <v>22</v>
      </c>
      <c r="G62" s="33"/>
      <c r="H62" s="33"/>
      <c r="I62" s="33"/>
      <c r="J62" s="33"/>
    </row>
    <row r="63" ht="15.75" customHeight="1">
      <c r="A63" s="27" t="s">
        <v>737</v>
      </c>
      <c r="B63" s="31" t="s">
        <v>752</v>
      </c>
      <c r="C63" s="27" t="s">
        <v>638</v>
      </c>
      <c r="D63" s="27" t="s">
        <v>22</v>
      </c>
    </row>
    <row r="64" ht="15.75" customHeight="1">
      <c r="A64" s="27" t="s">
        <v>737</v>
      </c>
      <c r="B64" s="31" t="s">
        <v>753</v>
      </c>
      <c r="C64" s="27" t="s">
        <v>472</v>
      </c>
      <c r="D64" s="27" t="s">
        <v>22</v>
      </c>
    </row>
    <row r="65" ht="15.75" customHeight="1">
      <c r="A65" s="27">
        <v>479.0</v>
      </c>
      <c r="B65" s="31" t="s">
        <v>754</v>
      </c>
      <c r="C65" s="27" t="s">
        <v>21</v>
      </c>
      <c r="D65" s="27"/>
    </row>
    <row r="66" ht="15.75" customHeight="1">
      <c r="A66" s="27">
        <v>480.0</v>
      </c>
      <c r="B66" s="31" t="s">
        <v>755</v>
      </c>
      <c r="C66" s="27" t="s">
        <v>40</v>
      </c>
      <c r="D66" s="27"/>
    </row>
    <row r="67" ht="15.75" customHeight="1">
      <c r="A67" s="27">
        <v>481.0</v>
      </c>
      <c r="B67" s="31" t="s">
        <v>756</v>
      </c>
      <c r="C67" s="27" t="s">
        <v>58</v>
      </c>
      <c r="D67" s="27" t="s">
        <v>22</v>
      </c>
    </row>
    <row r="68" ht="15.75" customHeight="1">
      <c r="A68" s="27">
        <v>482.0</v>
      </c>
      <c r="B68" s="31" t="s">
        <v>757</v>
      </c>
      <c r="C68" s="27" t="s">
        <v>76</v>
      </c>
      <c r="D68" s="27"/>
    </row>
    <row r="69" ht="15.75" customHeight="1">
      <c r="A69" s="27">
        <v>483.0</v>
      </c>
      <c r="B69" s="31" t="s">
        <v>758</v>
      </c>
      <c r="C69" s="27" t="s">
        <v>94</v>
      </c>
      <c r="D69" s="27"/>
    </row>
    <row r="70" ht="15.75" customHeight="1">
      <c r="A70" s="27">
        <v>484.0</v>
      </c>
      <c r="B70" s="31" t="s">
        <v>759</v>
      </c>
      <c r="C70" s="27" t="s">
        <v>112</v>
      </c>
      <c r="D70" s="27"/>
    </row>
    <row r="71" ht="15.75" customHeight="1">
      <c r="A71" s="27">
        <v>485.0</v>
      </c>
      <c r="B71" s="31" t="s">
        <v>760</v>
      </c>
      <c r="C71" s="27" t="s">
        <v>130</v>
      </c>
      <c r="D71" s="27" t="s">
        <v>22</v>
      </c>
    </row>
    <row r="72" ht="15.75" customHeight="1">
      <c r="A72" s="27">
        <v>486.0</v>
      </c>
      <c r="B72" s="31" t="s">
        <v>761</v>
      </c>
      <c r="C72" s="27" t="s">
        <v>148</v>
      </c>
      <c r="D72" s="27"/>
    </row>
    <row r="73" ht="15.75" customHeight="1">
      <c r="A73" s="27">
        <v>487.0</v>
      </c>
      <c r="B73" s="31" t="s">
        <v>762</v>
      </c>
      <c r="C73" s="27" t="s">
        <v>166</v>
      </c>
      <c r="D73" s="27" t="s">
        <v>22</v>
      </c>
    </row>
    <row r="74" ht="15.75" customHeight="1">
      <c r="A74" s="27">
        <v>488.0</v>
      </c>
      <c r="B74" s="31" t="s">
        <v>763</v>
      </c>
      <c r="C74" s="27" t="s">
        <v>184</v>
      </c>
      <c r="D74" s="27"/>
    </row>
    <row r="75" ht="15.75" customHeight="1">
      <c r="A75" s="27">
        <v>489.0</v>
      </c>
      <c r="B75" s="31" t="s">
        <v>764</v>
      </c>
      <c r="C75" s="27" t="s">
        <v>202</v>
      </c>
      <c r="D75" s="27" t="s">
        <v>22</v>
      </c>
    </row>
    <row r="76" ht="15.75" customHeight="1">
      <c r="A76" s="27">
        <v>490.0</v>
      </c>
      <c r="B76" s="31" t="s">
        <v>765</v>
      </c>
      <c r="C76" s="27" t="s">
        <v>220</v>
      </c>
      <c r="D76" s="27" t="s">
        <v>22</v>
      </c>
    </row>
    <row r="77" ht="15.75" customHeight="1">
      <c r="A77" s="27">
        <v>491.0</v>
      </c>
      <c r="B77" s="31" t="s">
        <v>766</v>
      </c>
      <c r="C77" s="27" t="s">
        <v>238</v>
      </c>
      <c r="D77" s="27" t="s">
        <v>22</v>
      </c>
    </row>
    <row r="78" ht="15.75" customHeight="1">
      <c r="A78" s="27">
        <v>492.0</v>
      </c>
      <c r="B78" s="31" t="s">
        <v>767</v>
      </c>
      <c r="C78" s="27" t="s">
        <v>256</v>
      </c>
      <c r="D78" s="27"/>
    </row>
    <row r="79" ht="15.75" customHeight="1">
      <c r="A79" s="27">
        <v>493.0</v>
      </c>
      <c r="B79" s="31" t="s">
        <v>768</v>
      </c>
      <c r="C79" s="27" t="s">
        <v>274</v>
      </c>
      <c r="D79" s="27"/>
    </row>
    <row r="80" ht="15.75" customHeight="1">
      <c r="A80" s="27">
        <v>494.0</v>
      </c>
      <c r="B80" s="31" t="s">
        <v>769</v>
      </c>
      <c r="C80" s="27" t="s">
        <v>292</v>
      </c>
      <c r="D80" s="27" t="s">
        <v>22</v>
      </c>
    </row>
    <row r="81" ht="15.75" customHeight="1">
      <c r="A81" s="27">
        <v>495.0</v>
      </c>
      <c r="B81" s="31" t="s">
        <v>770</v>
      </c>
      <c r="C81" s="27" t="s">
        <v>310</v>
      </c>
      <c r="D81" s="27"/>
    </row>
    <row r="82" ht="15.75" customHeight="1">
      <c r="A82" s="27">
        <v>496.0</v>
      </c>
      <c r="B82" s="31" t="s">
        <v>771</v>
      </c>
      <c r="C82" s="27" t="s">
        <v>328</v>
      </c>
      <c r="D82" s="27"/>
    </row>
    <row r="83" ht="15.75" customHeight="1">
      <c r="A83" s="27">
        <v>497.0</v>
      </c>
      <c r="B83" s="31" t="s">
        <v>772</v>
      </c>
      <c r="C83" s="27" t="s">
        <v>346</v>
      </c>
      <c r="D83" s="27"/>
    </row>
    <row r="84" ht="15.75" customHeight="1">
      <c r="A84" s="27">
        <v>498.0</v>
      </c>
      <c r="B84" s="31" t="s">
        <v>773</v>
      </c>
      <c r="C84" s="27" t="s">
        <v>364</v>
      </c>
      <c r="D84" s="27" t="s">
        <v>22</v>
      </c>
    </row>
    <row r="85" ht="15.75" customHeight="1">
      <c r="A85" s="31"/>
      <c r="B85" s="27"/>
      <c r="C85" s="27"/>
      <c r="D85" s="27"/>
    </row>
    <row r="86" ht="15.75" customHeight="1">
      <c r="D86" s="2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C85 D1:D86">
    <cfRule type="expression" dxfId="0" priority="1">
      <formula>$D1="SI"</formula>
    </cfRule>
  </conditionalFormatting>
  <drawing r:id="rId1"/>
</worksheet>
</file>